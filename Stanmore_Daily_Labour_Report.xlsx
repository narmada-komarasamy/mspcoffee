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ge Rates" sheetId="1" state="visible" r:id="rId3"/>
    <sheet name="Employee Master" sheetId="2" state="visible" r:id="rId4"/>
    <sheet name="Daily Report" sheetId="3" state="visible" r:id="rId5"/>
    <sheet name="Work Categor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<sst xmlns="http://schemas.openxmlformats.org/spreadsheetml/2006/main" count="286" uniqueCount="116">
  <si>
    <t xml:space="preserve">MSP COFFEE P LTD — STANMORE ESTATE
Daily Wage Rate Card</t>
  </si>
  <si>
    <t xml:space="preserve">Category</t>
  </si>
  <si>
    <t xml:space="preserve">Daily Wage (RM)</t>
  </si>
  <si>
    <t xml:space="preserve">Notes</t>
  </si>
  <si>
    <t xml:space="preserve">Casual Male Worker</t>
  </si>
  <si>
    <t xml:space="preserve">Update wage in Column B</t>
  </si>
  <si>
    <t xml:space="preserve">Casual Female Worker</t>
  </si>
  <si>
    <t xml:space="preserve">PF Male Worker</t>
  </si>
  <si>
    <t xml:space="preserve">PF Female Worker</t>
  </si>
  <si>
    <t xml:space="preserve">Staff / Incharge</t>
  </si>
  <si>
    <t xml:space="preserve">Field Assistant</t>
  </si>
  <si>
    <t xml:space="preserve">Mistry</t>
  </si>
  <si>
    <t xml:space="preserve">Mechanic</t>
  </si>
  <si>
    <t xml:space="preserve">Driver</t>
  </si>
  <si>
    <t xml:space="preserve">Cook</t>
  </si>
  <si>
    <t xml:space="preserve">Watchman</t>
  </si>
  <si>
    <t xml:space="preserve">Coffee Roaster</t>
  </si>
  <si>
    <t xml:space="preserve">Emp ID</t>
  </si>
  <si>
    <t xml:space="preserve">Name</t>
  </si>
  <si>
    <t xml:space="preserve">Designation</t>
  </si>
  <si>
    <t xml:space="preserve">Gender</t>
  </si>
  <si>
    <t xml:space="preserve">Wage Category</t>
  </si>
  <si>
    <t xml:space="preserve">Rabeen</t>
  </si>
  <si>
    <t xml:space="preserve">Male</t>
  </si>
  <si>
    <t xml:space="preserve">Palani</t>
  </si>
  <si>
    <t xml:space="preserve">Worker</t>
  </si>
  <si>
    <t xml:space="preserve">Sukru Hembrom</t>
  </si>
  <si>
    <t xml:space="preserve">Etwa Hembrom</t>
  </si>
  <si>
    <t xml:space="preserve">Moti Hembrom</t>
  </si>
  <si>
    <t xml:space="preserve">Mali Soy</t>
  </si>
  <si>
    <t xml:space="preserve">Female</t>
  </si>
  <si>
    <t xml:space="preserve">V Mani</t>
  </si>
  <si>
    <t xml:space="preserve">Chelladurai</t>
  </si>
  <si>
    <t xml:space="preserve">Thamaraiselvi Siva</t>
  </si>
  <si>
    <t xml:space="preserve">Budhani Purti</t>
  </si>
  <si>
    <t xml:space="preserve">Lakshmi Arumugam</t>
  </si>
  <si>
    <t xml:space="preserve">M Murugeshwari</t>
  </si>
  <si>
    <t xml:space="preserve">Mangaleshwari Kumar</t>
  </si>
  <si>
    <t xml:space="preserve">Sutha</t>
  </si>
  <si>
    <t xml:space="preserve">P Sadatchi</t>
  </si>
  <si>
    <t xml:space="preserve">S Rasathi</t>
  </si>
  <si>
    <t xml:space="preserve">Manjula Gnansekaran</t>
  </si>
  <si>
    <t xml:space="preserve">Palaniyammal Panner</t>
  </si>
  <si>
    <t xml:space="preserve">Sivalakshmi Govindharaj</t>
  </si>
  <si>
    <t xml:space="preserve">Chinthamani Palanisamy</t>
  </si>
  <si>
    <t xml:space="preserve">Kuppayi Palanisamy</t>
  </si>
  <si>
    <t xml:space="preserve">Ramayee</t>
  </si>
  <si>
    <t xml:space="preserve">A Annapoorani</t>
  </si>
  <si>
    <t xml:space="preserve">T Sumathi</t>
  </si>
  <si>
    <t xml:space="preserve">Sivakami</t>
  </si>
  <si>
    <t xml:space="preserve">S Sumathi</t>
  </si>
  <si>
    <t xml:space="preserve">Kuppusamy</t>
  </si>
  <si>
    <t xml:space="preserve">Sanika Hembrom</t>
  </si>
  <si>
    <t xml:space="preserve">Mangra Diggi</t>
  </si>
  <si>
    <t xml:space="preserve">Pitchai</t>
  </si>
  <si>
    <t xml:space="preserve">Thangavel</t>
  </si>
  <si>
    <t xml:space="preserve">K Annamalai</t>
  </si>
  <si>
    <t xml:space="preserve">M Rupan</t>
  </si>
  <si>
    <t xml:space="preserve">Pannerselvam</t>
  </si>
  <si>
    <t xml:space="preserve">G Arumugam</t>
  </si>
  <si>
    <t xml:space="preserve">P Palanisamy</t>
  </si>
  <si>
    <t xml:space="preserve">R Siva</t>
  </si>
  <si>
    <t xml:space="preserve">D Sivakumar</t>
  </si>
  <si>
    <t xml:space="preserve">Field Asst</t>
  </si>
  <si>
    <t xml:space="preserve">T Jawaharan</t>
  </si>
  <si>
    <t xml:space="preserve">Mech</t>
  </si>
  <si>
    <t xml:space="preserve">P Govindharaj</t>
  </si>
  <si>
    <t xml:space="preserve">Incharge</t>
  </si>
  <si>
    <t xml:space="preserve">Date:</t>
  </si>
  <si>
    <t xml:space="preserve">Supervisor:</t>
  </si>
  <si>
    <t xml:space="preserve">Daily Wage
(RM)</t>
  </si>
  <si>
    <t xml:space="preserve">Status
P/H/A</t>
  </si>
  <si>
    <t xml:space="preserve">Work Assigned</t>
  </si>
  <si>
    <t xml:space="preserve">Days</t>
  </si>
  <si>
    <t xml:space="preserve">Cost (RM)</t>
  </si>
  <si>
    <t xml:space="preserve">P</t>
  </si>
  <si>
    <t xml:space="preserve">TOTAL</t>
  </si>
  <si>
    <t xml:space="preserve">SUMMARY</t>
  </si>
  <si>
    <t xml:space="preserve">Total Present (P)</t>
  </si>
  <si>
    <t xml:space="preserve">Total Half Day (H)</t>
  </si>
  <si>
    <t xml:space="preserve">Total Absent (A)</t>
  </si>
  <si>
    <t xml:space="preserve">Male Workers Present</t>
  </si>
  <si>
    <t xml:space="preserve">Female Workers Present</t>
  </si>
  <si>
    <t xml:space="preserve">PF Workers Present</t>
  </si>
  <si>
    <t xml:space="preserve">Total Daily Cost (RM)</t>
  </si>
  <si>
    <t xml:space="preserve">Common Work Assignments — Reference</t>
  </si>
  <si>
    <t xml:space="preserve">Work Type</t>
  </si>
  <si>
    <t xml:space="preserve">Description</t>
  </si>
  <si>
    <t xml:space="preserve">Weeding</t>
  </si>
  <si>
    <t xml:space="preserve">Manual removal of weeds between coffee rows</t>
  </si>
  <si>
    <t xml:space="preserve">Pruning</t>
  </si>
  <si>
    <t xml:space="preserve">Cutting back coffee branches for growth management</t>
  </si>
  <si>
    <t xml:space="preserve">Picking</t>
  </si>
  <si>
    <t xml:space="preserve">Harvesting ripe coffee cherries</t>
  </si>
  <si>
    <t xml:space="preserve">Spraying</t>
  </si>
  <si>
    <t xml:space="preserve">Applying fertiliser or pesticide by hand pump</t>
  </si>
  <si>
    <t xml:space="preserve">Fertiliser Application</t>
  </si>
  <si>
    <t xml:space="preserve">Spreading granular fertiliser around coffee plants</t>
  </si>
  <si>
    <t xml:space="preserve">Digging / Trenching</t>
  </si>
  <si>
    <t xml:space="preserve">Soil preparation and drainage trench work</t>
  </si>
  <si>
    <t xml:space="preserve">Roads &amp; Drains</t>
  </si>
  <si>
    <t xml:space="preserve">Maintenance of estate paths and drainage channels</t>
  </si>
  <si>
    <t xml:space="preserve">Nursery Work</t>
  </si>
  <si>
    <t xml:space="preserve">Seedling care and propagation in the nursery</t>
  </si>
  <si>
    <t xml:space="preserve">Shade Tree Work</t>
  </si>
  <si>
    <t xml:space="preserve">Trimming and maintenance of shade trees</t>
  </si>
  <si>
    <t xml:space="preserve">Loading / Transport</t>
  </si>
  <si>
    <t xml:space="preserve">Loading produce or materials onto vehicles</t>
  </si>
  <si>
    <t xml:space="preserve">Drying / Processing</t>
  </si>
  <si>
    <t xml:space="preserve">Coffee processing and drying yard work</t>
  </si>
  <si>
    <t xml:space="preserve">Watchman Duty</t>
  </si>
  <si>
    <t xml:space="preserve">Security patrol of estate premises</t>
  </si>
  <si>
    <t xml:space="preserve">Cooking / Canteen</t>
  </si>
  <si>
    <t xml:space="preserve">Preparation of meals for workers</t>
  </si>
  <si>
    <t xml:space="preserve">General Maintenance</t>
  </si>
  <si>
    <t xml:space="preserve">Ad hoc repairs and upkeep tasks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</si>
</sst>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dd\-mmm\-yyyy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D9D9D9"/>
        <bgColor rgb="FFBDD7EE"/>
      </patternFill>
    </fill>
    <fill>
      <patternFill patternType="solid">
        <fgColor rgb="FFEBF3F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EBF3FB"/>
      </patternFill>
    </fill>
    <fill>
      <patternFill patternType="solid">
        <fgColor rgb="FF1E5631"/>
        <bgColor rgb="FF1F4E79"/>
      </patternFill>
    </fill>
    <fill>
      <patternFill patternType="solid">
        <fgColor rgb="FFBDD7EE"/>
        <bgColor rgb="FFD9D9D9"/>
      </patternFill>
    </fill>
    <fill>
      <patternFill patternType="solid">
        <fgColor rgb="FF7B3F0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66699"/>
      <rgbColor rgb="FFAAAAAA"/>
      <rgbColor rgb="FF003366"/>
      <rgbColor rgb="FF339966"/>
      <rgbColor rgb="FF003300"/>
      <rgbColor rgb="FF333300"/>
      <rgbColor rgb="FF7B3F00"/>
      <rgbColor rgb="FF993366"/>
      <rgbColor rgb="FF1F4E7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017"/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32"/>
  </cols>
  <sheetData>
    <row r="1" customFormat="false" ht="33.7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4" t="n">
        <v>0</v>
      </c>
      <c r="C3" s="5" t="s">
        <v>5</v>
      </c>
    </row>
    <row r="4" customFormat="false" ht="15" hidden="false" customHeight="false" outlineLevel="0" collapsed="false">
      <c r="A4" s="6" t="s">
        <v>6</v>
      </c>
      <c r="B4" s="4" t="n">
        <v>0</v>
      </c>
      <c r="C4" s="7" t="s">
        <v>5</v>
      </c>
    </row>
    <row r="5" customFormat="false" ht="15" hidden="false" customHeight="false" outlineLevel="0" collapsed="false">
      <c r="A5" s="3" t="s">
        <v>7</v>
      </c>
      <c r="B5" s="4" t="n">
        <v>0</v>
      </c>
      <c r="C5" s="5" t="s">
        <v>5</v>
      </c>
    </row>
    <row r="6" customFormat="false" ht="15" hidden="false" customHeight="false" outlineLevel="0" collapsed="false">
      <c r="A6" s="6" t="s">
        <v>8</v>
      </c>
      <c r="B6" s="4" t="n">
        <v>0</v>
      </c>
      <c r="C6" s="7" t="s">
        <v>5</v>
      </c>
    </row>
    <row r="7" customFormat="false" ht="15" hidden="false" customHeight="false" outlineLevel="0" collapsed="false">
      <c r="A7" s="3" t="s">
        <v>9</v>
      </c>
      <c r="B7" s="4" t="n">
        <v>0</v>
      </c>
      <c r="C7" s="5" t="s">
        <v>5</v>
      </c>
    </row>
    <row r="8" customFormat="false" ht="15" hidden="false" customHeight="false" outlineLevel="0" collapsed="false">
      <c r="A8" s="6" t="s">
        <v>10</v>
      </c>
      <c r="B8" s="4" t="n">
        <v>0</v>
      </c>
      <c r="C8" s="7" t="s">
        <v>5</v>
      </c>
    </row>
    <row r="9" customFormat="false" ht="15" hidden="false" customHeight="false" outlineLevel="0" collapsed="false">
      <c r="A9" s="3" t="s">
        <v>11</v>
      </c>
      <c r="B9" s="4" t="n">
        <v>0</v>
      </c>
      <c r="C9" s="5" t="s">
        <v>5</v>
      </c>
    </row>
    <row r="10" customFormat="false" ht="15" hidden="false" customHeight="false" outlineLevel="0" collapsed="false">
      <c r="A10" s="6" t="s">
        <v>12</v>
      </c>
      <c r="B10" s="4" t="n">
        <v>0</v>
      </c>
      <c r="C10" s="7" t="s">
        <v>5</v>
      </c>
    </row>
    <row r="11" customFormat="false" ht="15" hidden="false" customHeight="false" outlineLevel="0" collapsed="false">
      <c r="A11" s="3" t="s">
        <v>13</v>
      </c>
      <c r="B11" s="4" t="n">
        <v>0</v>
      </c>
      <c r="C11" s="5" t="s">
        <v>5</v>
      </c>
    </row>
    <row r="12" customFormat="false" ht="15" hidden="false" customHeight="false" outlineLevel="0" collapsed="false">
      <c r="A12" s="6" t="s">
        <v>14</v>
      </c>
      <c r="B12" s="4" t="n">
        <v>0</v>
      </c>
      <c r="C12" s="7" t="s">
        <v>5</v>
      </c>
    </row>
    <row r="13" customFormat="false" ht="15" hidden="false" customHeight="false" outlineLevel="0" collapsed="false">
      <c r="A13" s="3" t="s">
        <v>15</v>
      </c>
      <c r="B13" s="4" t="n">
        <v>0</v>
      </c>
      <c r="C13" s="5" t="s">
        <v>5</v>
      </c>
    </row>
    <row r="14" customFormat="false" ht="15" hidden="false" customHeight="false" outlineLevel="0" collapsed="false">
      <c r="A14" s="6" t="s">
        <v>16</v>
      </c>
      <c r="B14" s="4" t="n">
        <v>0</v>
      </c>
      <c r="C14" s="7" t="s">
        <v>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5631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19.5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</v>
      </c>
    </row>
    <row r="2" customFormat="false" ht="15" hidden="false" customHeight="false" outlineLevel="0" collapsed="false">
      <c r="A2" s="9" t="n">
        <v>526</v>
      </c>
      <c r="B2" s="3" t="s">
        <v>22</v>
      </c>
      <c r="C2" s="10" t="s">
        <v>16</v>
      </c>
      <c r="D2" s="10" t="s">
        <v>23</v>
      </c>
      <c r="E2" s="10" t="s">
        <v>16</v>
      </c>
      <c r="F2" s="11" t="n">
        <f aca="false">IFERROR(VLOOKUP(E2,'Wage Rates'!$A$3:$B$14,2,0),0)</f>
        <v>0</v>
      </c>
    </row>
    <row r="3" customFormat="false" ht="15" hidden="false" customHeight="false" outlineLevel="0" collapsed="false">
      <c r="A3" s="12" t="n">
        <v>295</v>
      </c>
      <c r="B3" s="6" t="s">
        <v>24</v>
      </c>
      <c r="C3" s="13" t="s">
        <v>25</v>
      </c>
      <c r="D3" s="13" t="s">
        <v>23</v>
      </c>
      <c r="E3" s="13" t="s">
        <v>7</v>
      </c>
      <c r="F3" s="14" t="n">
        <f aca="false">IFERROR(VLOOKUP(E3,'Wage Rates'!$A$3:$B$14,2,0),0)</f>
        <v>0</v>
      </c>
    </row>
    <row r="4" customFormat="false" ht="15" hidden="false" customHeight="false" outlineLevel="0" collapsed="false">
      <c r="A4" s="9" t="n">
        <v>273</v>
      </c>
      <c r="B4" s="3" t="s">
        <v>26</v>
      </c>
      <c r="C4" s="10" t="s">
        <v>25</v>
      </c>
      <c r="D4" s="10" t="s">
        <v>23</v>
      </c>
      <c r="E4" s="10" t="s">
        <v>7</v>
      </c>
      <c r="F4" s="11" t="n">
        <f aca="false">IFERROR(VLOOKUP(E4,'Wage Rates'!$A$3:$B$14,2,0),0)</f>
        <v>0</v>
      </c>
    </row>
    <row r="5" customFormat="false" ht="15" hidden="false" customHeight="false" outlineLevel="0" collapsed="false">
      <c r="A5" s="12" t="n">
        <v>264</v>
      </c>
      <c r="B5" s="6" t="s">
        <v>27</v>
      </c>
      <c r="C5" s="13" t="s">
        <v>25</v>
      </c>
      <c r="D5" s="13" t="s">
        <v>23</v>
      </c>
      <c r="E5" s="13" t="s">
        <v>7</v>
      </c>
      <c r="F5" s="14" t="n">
        <f aca="false">IFERROR(VLOOKUP(E5,'Wage Rates'!$A$3:$B$14,2,0),0)</f>
        <v>0</v>
      </c>
    </row>
    <row r="6" customFormat="false" ht="15" hidden="false" customHeight="false" outlineLevel="0" collapsed="false">
      <c r="A6" s="9" t="n">
        <v>260</v>
      </c>
      <c r="B6" s="3" t="s">
        <v>28</v>
      </c>
      <c r="C6" s="10" t="s">
        <v>25</v>
      </c>
      <c r="D6" s="10" t="s">
        <v>23</v>
      </c>
      <c r="E6" s="10" t="s">
        <v>7</v>
      </c>
      <c r="F6" s="11" t="n">
        <f aca="false">IFERROR(VLOOKUP(E6,'Wage Rates'!$A$3:$B$14,2,0),0)</f>
        <v>0</v>
      </c>
    </row>
    <row r="7" customFormat="false" ht="15" hidden="false" customHeight="false" outlineLevel="0" collapsed="false">
      <c r="A7" s="12" t="n">
        <v>259</v>
      </c>
      <c r="B7" s="6" t="s">
        <v>29</v>
      </c>
      <c r="C7" s="13" t="s">
        <v>25</v>
      </c>
      <c r="D7" s="13" t="s">
        <v>30</v>
      </c>
      <c r="E7" s="13" t="s">
        <v>8</v>
      </c>
      <c r="F7" s="14" t="n">
        <f aca="false">IFERROR(VLOOKUP(E7,'Wage Rates'!$A$3:$B$14,2,0),0)</f>
        <v>0</v>
      </c>
    </row>
    <row r="8" customFormat="false" ht="15" hidden="false" customHeight="false" outlineLevel="0" collapsed="false">
      <c r="A8" s="9" t="n">
        <v>499</v>
      </c>
      <c r="B8" s="3" t="s">
        <v>31</v>
      </c>
      <c r="C8" s="10" t="s">
        <v>25</v>
      </c>
      <c r="D8" s="10" t="s">
        <v>23</v>
      </c>
      <c r="E8" s="10" t="s">
        <v>7</v>
      </c>
      <c r="F8" s="11" t="n">
        <f aca="false">IFERROR(VLOOKUP(E8,'Wage Rates'!$A$3:$B$14,2,0),0)</f>
        <v>0</v>
      </c>
    </row>
    <row r="9" customFormat="false" ht="15" hidden="false" customHeight="false" outlineLevel="0" collapsed="false">
      <c r="A9" s="12" t="n">
        <v>443</v>
      </c>
      <c r="B9" s="6" t="s">
        <v>32</v>
      </c>
      <c r="C9" s="13" t="s">
        <v>25</v>
      </c>
      <c r="D9" s="13" t="s">
        <v>23</v>
      </c>
      <c r="E9" s="13" t="s">
        <v>7</v>
      </c>
      <c r="F9" s="14" t="n">
        <f aca="false">IFERROR(VLOOKUP(E9,'Wage Rates'!$A$3:$B$14,2,0),0)</f>
        <v>0</v>
      </c>
    </row>
    <row r="10" customFormat="false" ht="15" hidden="false" customHeight="false" outlineLevel="0" collapsed="false">
      <c r="A10" s="9" t="n">
        <v>442</v>
      </c>
      <c r="B10" s="3" t="s">
        <v>33</v>
      </c>
      <c r="C10" s="10" t="s">
        <v>25</v>
      </c>
      <c r="D10" s="10" t="s">
        <v>30</v>
      </c>
      <c r="E10" s="10" t="s">
        <v>8</v>
      </c>
      <c r="F10" s="11" t="n">
        <f aca="false">IFERROR(VLOOKUP(E10,'Wage Rates'!$A$3:$B$14,2,0),0)</f>
        <v>0</v>
      </c>
    </row>
    <row r="11" customFormat="false" ht="15" hidden="false" customHeight="false" outlineLevel="0" collapsed="false">
      <c r="A11" s="12" t="n">
        <v>441</v>
      </c>
      <c r="B11" s="6" t="s">
        <v>34</v>
      </c>
      <c r="C11" s="13" t="s">
        <v>25</v>
      </c>
      <c r="D11" s="13" t="s">
        <v>23</v>
      </c>
      <c r="E11" s="13" t="s">
        <v>7</v>
      </c>
      <c r="F11" s="14" t="n">
        <f aca="false">IFERROR(VLOOKUP(E11,'Wage Rates'!$A$3:$B$14,2,0),0)</f>
        <v>0</v>
      </c>
    </row>
    <row r="12" customFormat="false" ht="15" hidden="false" customHeight="false" outlineLevel="0" collapsed="false">
      <c r="A12" s="9" t="n">
        <v>438</v>
      </c>
      <c r="B12" s="3" t="s">
        <v>35</v>
      </c>
      <c r="C12" s="10" t="s">
        <v>25</v>
      </c>
      <c r="D12" s="10" t="s">
        <v>30</v>
      </c>
      <c r="E12" s="10" t="s">
        <v>8</v>
      </c>
      <c r="F12" s="11" t="n">
        <f aca="false">IFERROR(VLOOKUP(E12,'Wage Rates'!$A$3:$B$14,2,0),0)</f>
        <v>0</v>
      </c>
    </row>
    <row r="13" customFormat="false" ht="15" hidden="false" customHeight="false" outlineLevel="0" collapsed="false">
      <c r="A13" s="12" t="n">
        <v>437</v>
      </c>
      <c r="B13" s="6" t="s">
        <v>36</v>
      </c>
      <c r="C13" s="13" t="s">
        <v>25</v>
      </c>
      <c r="D13" s="13" t="s">
        <v>30</v>
      </c>
      <c r="E13" s="13" t="s">
        <v>8</v>
      </c>
      <c r="F13" s="14" t="n">
        <f aca="false">IFERROR(VLOOKUP(E13,'Wage Rates'!$A$3:$B$14,2,0),0)</f>
        <v>0</v>
      </c>
    </row>
    <row r="14" customFormat="false" ht="15" hidden="false" customHeight="false" outlineLevel="0" collapsed="false">
      <c r="A14" s="9" t="n">
        <v>436</v>
      </c>
      <c r="B14" s="3" t="s">
        <v>37</v>
      </c>
      <c r="C14" s="10" t="s">
        <v>25</v>
      </c>
      <c r="D14" s="10" t="s">
        <v>30</v>
      </c>
      <c r="E14" s="10" t="s">
        <v>8</v>
      </c>
      <c r="F14" s="11" t="n">
        <f aca="false">IFERROR(VLOOKUP(E14,'Wage Rates'!$A$3:$B$14,2,0),0)</f>
        <v>0</v>
      </c>
    </row>
    <row r="15" customFormat="false" ht="15" hidden="false" customHeight="false" outlineLevel="0" collapsed="false">
      <c r="A15" s="12" t="n">
        <v>435</v>
      </c>
      <c r="B15" s="6" t="s">
        <v>38</v>
      </c>
      <c r="C15" s="13" t="s">
        <v>25</v>
      </c>
      <c r="D15" s="13" t="s">
        <v>30</v>
      </c>
      <c r="E15" s="13" t="s">
        <v>8</v>
      </c>
      <c r="F15" s="14" t="n">
        <f aca="false">IFERROR(VLOOKUP(E15,'Wage Rates'!$A$3:$B$14,2,0),0)</f>
        <v>0</v>
      </c>
    </row>
    <row r="16" customFormat="false" ht="15" hidden="false" customHeight="false" outlineLevel="0" collapsed="false">
      <c r="A16" s="9" t="n">
        <v>434</v>
      </c>
      <c r="B16" s="3" t="s">
        <v>39</v>
      </c>
      <c r="C16" s="10" t="s">
        <v>25</v>
      </c>
      <c r="D16" s="10" t="s">
        <v>30</v>
      </c>
      <c r="E16" s="10" t="s">
        <v>8</v>
      </c>
      <c r="F16" s="11" t="n">
        <f aca="false">IFERROR(VLOOKUP(E16,'Wage Rates'!$A$3:$B$14,2,0),0)</f>
        <v>0</v>
      </c>
    </row>
    <row r="17" customFormat="false" ht="15" hidden="false" customHeight="false" outlineLevel="0" collapsed="false">
      <c r="A17" s="12" t="n">
        <v>433</v>
      </c>
      <c r="B17" s="6" t="s">
        <v>40</v>
      </c>
      <c r="C17" s="13" t="s">
        <v>25</v>
      </c>
      <c r="D17" s="13" t="s">
        <v>30</v>
      </c>
      <c r="E17" s="13" t="s">
        <v>8</v>
      </c>
      <c r="F17" s="14" t="n">
        <f aca="false">IFERROR(VLOOKUP(E17,'Wage Rates'!$A$3:$B$14,2,0),0)</f>
        <v>0</v>
      </c>
    </row>
    <row r="18" customFormat="false" ht="15" hidden="false" customHeight="false" outlineLevel="0" collapsed="false">
      <c r="A18" s="9" t="n">
        <v>432</v>
      </c>
      <c r="B18" s="3" t="s">
        <v>41</v>
      </c>
      <c r="C18" s="10" t="s">
        <v>25</v>
      </c>
      <c r="D18" s="10" t="s">
        <v>30</v>
      </c>
      <c r="E18" s="10" t="s">
        <v>8</v>
      </c>
      <c r="F18" s="11" t="n">
        <f aca="false">IFERROR(VLOOKUP(E18,'Wage Rates'!$A$3:$B$14,2,0),0)</f>
        <v>0</v>
      </c>
    </row>
    <row r="19" customFormat="false" ht="15" hidden="false" customHeight="false" outlineLevel="0" collapsed="false">
      <c r="A19" s="12" t="n">
        <v>431</v>
      </c>
      <c r="B19" s="6" t="s">
        <v>42</v>
      </c>
      <c r="C19" s="13" t="s">
        <v>25</v>
      </c>
      <c r="D19" s="13" t="s">
        <v>30</v>
      </c>
      <c r="E19" s="13" t="s">
        <v>8</v>
      </c>
      <c r="F19" s="14" t="n">
        <f aca="false">IFERROR(VLOOKUP(E19,'Wage Rates'!$A$3:$B$14,2,0),0)</f>
        <v>0</v>
      </c>
    </row>
    <row r="20" customFormat="false" ht="15" hidden="false" customHeight="false" outlineLevel="0" collapsed="false">
      <c r="A20" s="9" t="n">
        <v>430</v>
      </c>
      <c r="B20" s="3" t="s">
        <v>43</v>
      </c>
      <c r="C20" s="10" t="s">
        <v>25</v>
      </c>
      <c r="D20" s="10" t="s">
        <v>30</v>
      </c>
      <c r="E20" s="10" t="s">
        <v>8</v>
      </c>
      <c r="F20" s="11" t="n">
        <f aca="false">IFERROR(VLOOKUP(E20,'Wage Rates'!$A$3:$B$14,2,0),0)</f>
        <v>0</v>
      </c>
    </row>
    <row r="21" customFormat="false" ht="15" hidden="false" customHeight="false" outlineLevel="0" collapsed="false">
      <c r="A21" s="12" t="n">
        <v>429</v>
      </c>
      <c r="B21" s="6" t="s">
        <v>44</v>
      </c>
      <c r="C21" s="13" t="s">
        <v>25</v>
      </c>
      <c r="D21" s="13" t="s">
        <v>30</v>
      </c>
      <c r="E21" s="13" t="s">
        <v>8</v>
      </c>
      <c r="F21" s="14" t="n">
        <f aca="false">IFERROR(VLOOKUP(E21,'Wage Rates'!$A$3:$B$14,2,0),0)</f>
        <v>0</v>
      </c>
    </row>
    <row r="22" customFormat="false" ht="15" hidden="false" customHeight="false" outlineLevel="0" collapsed="false">
      <c r="A22" s="9" t="n">
        <v>428</v>
      </c>
      <c r="B22" s="3" t="s">
        <v>45</v>
      </c>
      <c r="C22" s="10" t="s">
        <v>25</v>
      </c>
      <c r="D22" s="10" t="s">
        <v>30</v>
      </c>
      <c r="E22" s="10" t="s">
        <v>8</v>
      </c>
      <c r="F22" s="11" t="n">
        <f aca="false">IFERROR(VLOOKUP(E22,'Wage Rates'!$A$3:$B$14,2,0),0)</f>
        <v>0</v>
      </c>
    </row>
    <row r="23" customFormat="false" ht="15" hidden="false" customHeight="false" outlineLevel="0" collapsed="false">
      <c r="A23" s="12" t="n">
        <v>427</v>
      </c>
      <c r="B23" s="6" t="s">
        <v>46</v>
      </c>
      <c r="C23" s="13" t="s">
        <v>25</v>
      </c>
      <c r="D23" s="13" t="s">
        <v>30</v>
      </c>
      <c r="E23" s="13" t="s">
        <v>8</v>
      </c>
      <c r="F23" s="14" t="n">
        <f aca="false">IFERROR(VLOOKUP(E23,'Wage Rates'!$A$3:$B$14,2,0),0)</f>
        <v>0</v>
      </c>
    </row>
    <row r="24" customFormat="false" ht="15" hidden="false" customHeight="false" outlineLevel="0" collapsed="false">
      <c r="A24" s="9" t="n">
        <v>426</v>
      </c>
      <c r="B24" s="3" t="s">
        <v>47</v>
      </c>
      <c r="C24" s="10" t="s">
        <v>14</v>
      </c>
      <c r="D24" s="10" t="s">
        <v>30</v>
      </c>
      <c r="E24" s="10" t="s">
        <v>14</v>
      </c>
      <c r="F24" s="11" t="n">
        <f aca="false">IFERROR(VLOOKUP(E24,'Wage Rates'!$A$3:$B$14,2,0),0)</f>
        <v>0</v>
      </c>
    </row>
    <row r="25" customFormat="false" ht="15" hidden="false" customHeight="false" outlineLevel="0" collapsed="false">
      <c r="A25" s="12" t="n">
        <v>425</v>
      </c>
      <c r="B25" s="6" t="s">
        <v>48</v>
      </c>
      <c r="C25" s="13" t="s">
        <v>14</v>
      </c>
      <c r="D25" s="13" t="s">
        <v>30</v>
      </c>
      <c r="E25" s="13" t="s">
        <v>14</v>
      </c>
      <c r="F25" s="14" t="n">
        <f aca="false">IFERROR(VLOOKUP(E25,'Wage Rates'!$A$3:$B$14,2,0),0)</f>
        <v>0</v>
      </c>
    </row>
    <row r="26" customFormat="false" ht="15" hidden="false" customHeight="false" outlineLevel="0" collapsed="false">
      <c r="A26" s="9" t="n">
        <v>424</v>
      </c>
      <c r="B26" s="3" t="s">
        <v>49</v>
      </c>
      <c r="C26" s="10" t="s">
        <v>25</v>
      </c>
      <c r="D26" s="10" t="s">
        <v>30</v>
      </c>
      <c r="E26" s="10" t="s">
        <v>8</v>
      </c>
      <c r="F26" s="11" t="n">
        <f aca="false">IFERROR(VLOOKUP(E26,'Wage Rates'!$A$3:$B$14,2,0),0)</f>
        <v>0</v>
      </c>
    </row>
    <row r="27" customFormat="false" ht="15" hidden="false" customHeight="false" outlineLevel="0" collapsed="false">
      <c r="A27" s="12" t="n">
        <v>423</v>
      </c>
      <c r="B27" s="6" t="s">
        <v>50</v>
      </c>
      <c r="C27" s="13" t="s">
        <v>25</v>
      </c>
      <c r="D27" s="13" t="s">
        <v>30</v>
      </c>
      <c r="E27" s="13" t="s">
        <v>8</v>
      </c>
      <c r="F27" s="14" t="n">
        <f aca="false">IFERROR(VLOOKUP(E27,'Wage Rates'!$A$3:$B$14,2,0),0)</f>
        <v>0</v>
      </c>
    </row>
    <row r="28" customFormat="false" ht="15" hidden="false" customHeight="false" outlineLevel="0" collapsed="false">
      <c r="A28" s="9" t="n">
        <v>420</v>
      </c>
      <c r="B28" s="3" t="s">
        <v>51</v>
      </c>
      <c r="C28" s="10" t="s">
        <v>15</v>
      </c>
      <c r="D28" s="10" t="s">
        <v>23</v>
      </c>
      <c r="E28" s="10" t="s">
        <v>15</v>
      </c>
      <c r="F28" s="11" t="n">
        <f aca="false">IFERROR(VLOOKUP(E28,'Wage Rates'!$A$3:$B$14,2,0),0)</f>
        <v>0</v>
      </c>
    </row>
    <row r="29" customFormat="false" ht="15" hidden="false" customHeight="false" outlineLevel="0" collapsed="false">
      <c r="A29" s="12" t="n">
        <v>414</v>
      </c>
      <c r="B29" s="6" t="s">
        <v>52</v>
      </c>
      <c r="C29" s="13" t="s">
        <v>25</v>
      </c>
      <c r="D29" s="13" t="s">
        <v>30</v>
      </c>
      <c r="E29" s="13" t="s">
        <v>8</v>
      </c>
      <c r="F29" s="14" t="n">
        <f aca="false">IFERROR(VLOOKUP(E29,'Wage Rates'!$A$3:$B$14,2,0),0)</f>
        <v>0</v>
      </c>
    </row>
    <row r="30" customFormat="false" ht="15" hidden="false" customHeight="false" outlineLevel="0" collapsed="false">
      <c r="A30" s="9" t="n">
        <v>412</v>
      </c>
      <c r="B30" s="3" t="s">
        <v>53</v>
      </c>
      <c r="C30" s="10" t="s">
        <v>25</v>
      </c>
      <c r="D30" s="10" t="s">
        <v>23</v>
      </c>
      <c r="E30" s="10" t="s">
        <v>7</v>
      </c>
      <c r="F30" s="11" t="n">
        <f aca="false">IFERROR(VLOOKUP(E30,'Wage Rates'!$A$3:$B$14,2,0),0)</f>
        <v>0</v>
      </c>
    </row>
    <row r="31" customFormat="false" ht="15" hidden="false" customHeight="false" outlineLevel="0" collapsed="false">
      <c r="A31" s="12" t="n">
        <v>410</v>
      </c>
      <c r="B31" s="6" t="s">
        <v>54</v>
      </c>
      <c r="C31" s="13" t="s">
        <v>25</v>
      </c>
      <c r="D31" s="13" t="s">
        <v>23</v>
      </c>
      <c r="E31" s="13" t="s">
        <v>7</v>
      </c>
      <c r="F31" s="14" t="n">
        <f aca="false">IFERROR(VLOOKUP(E31,'Wage Rates'!$A$3:$B$14,2,0),0)</f>
        <v>0</v>
      </c>
    </row>
    <row r="32" customFormat="false" ht="15" hidden="false" customHeight="false" outlineLevel="0" collapsed="false">
      <c r="A32" s="9" t="n">
        <v>409</v>
      </c>
      <c r="B32" s="3" t="s">
        <v>55</v>
      </c>
      <c r="C32" s="10" t="s">
        <v>25</v>
      </c>
      <c r="D32" s="10" t="s">
        <v>23</v>
      </c>
      <c r="E32" s="10" t="s">
        <v>7</v>
      </c>
      <c r="F32" s="11" t="n">
        <f aca="false">IFERROR(VLOOKUP(E32,'Wage Rates'!$A$3:$B$14,2,0),0)</f>
        <v>0</v>
      </c>
    </row>
    <row r="33" customFormat="false" ht="15" hidden="false" customHeight="false" outlineLevel="0" collapsed="false">
      <c r="A33" s="12" t="n">
        <v>408</v>
      </c>
      <c r="B33" s="6" t="s">
        <v>56</v>
      </c>
      <c r="C33" s="13" t="s">
        <v>25</v>
      </c>
      <c r="D33" s="13" t="s">
        <v>23</v>
      </c>
      <c r="E33" s="13" t="s">
        <v>7</v>
      </c>
      <c r="F33" s="14" t="n">
        <f aca="false">IFERROR(VLOOKUP(E33,'Wage Rates'!$A$3:$B$14,2,0),0)</f>
        <v>0</v>
      </c>
    </row>
    <row r="34" customFormat="false" ht="15" hidden="false" customHeight="false" outlineLevel="0" collapsed="false">
      <c r="A34" s="9" t="n">
        <v>407</v>
      </c>
      <c r="B34" s="3" t="s">
        <v>57</v>
      </c>
      <c r="C34" s="10" t="s">
        <v>25</v>
      </c>
      <c r="D34" s="10" t="s">
        <v>23</v>
      </c>
      <c r="E34" s="10" t="s">
        <v>7</v>
      </c>
      <c r="F34" s="11" t="n">
        <f aca="false">IFERROR(VLOOKUP(E34,'Wage Rates'!$A$3:$B$14,2,0),0)</f>
        <v>0</v>
      </c>
    </row>
    <row r="35" customFormat="false" ht="15" hidden="false" customHeight="false" outlineLevel="0" collapsed="false">
      <c r="A35" s="12" t="n">
        <v>406</v>
      </c>
      <c r="B35" s="6" t="s">
        <v>58</v>
      </c>
      <c r="C35" s="13" t="s">
        <v>25</v>
      </c>
      <c r="D35" s="13" t="s">
        <v>23</v>
      </c>
      <c r="E35" s="13" t="s">
        <v>7</v>
      </c>
      <c r="F35" s="14" t="n">
        <f aca="false">IFERROR(VLOOKUP(E35,'Wage Rates'!$A$3:$B$14,2,0),0)</f>
        <v>0</v>
      </c>
    </row>
    <row r="36" customFormat="false" ht="15" hidden="false" customHeight="false" outlineLevel="0" collapsed="false">
      <c r="A36" s="9" t="n">
        <v>405</v>
      </c>
      <c r="B36" s="3" t="s">
        <v>59</v>
      </c>
      <c r="C36" s="10" t="s">
        <v>25</v>
      </c>
      <c r="D36" s="10" t="s">
        <v>23</v>
      </c>
      <c r="E36" s="10" t="s">
        <v>7</v>
      </c>
      <c r="F36" s="11" t="n">
        <f aca="false">IFERROR(VLOOKUP(E36,'Wage Rates'!$A$3:$B$14,2,0),0)</f>
        <v>0</v>
      </c>
    </row>
    <row r="37" customFormat="false" ht="15" hidden="false" customHeight="false" outlineLevel="0" collapsed="false">
      <c r="A37" s="12" t="n">
        <v>404</v>
      </c>
      <c r="B37" s="6" t="s">
        <v>60</v>
      </c>
      <c r="C37" s="13" t="s">
        <v>11</v>
      </c>
      <c r="D37" s="13" t="s">
        <v>23</v>
      </c>
      <c r="E37" s="13" t="s">
        <v>11</v>
      </c>
      <c r="F37" s="14" t="n">
        <f aca="false">IFERROR(VLOOKUP(E37,'Wage Rates'!$A$3:$B$14,2,0),0)</f>
        <v>0</v>
      </c>
    </row>
    <row r="38" customFormat="false" ht="15" hidden="false" customHeight="false" outlineLevel="0" collapsed="false">
      <c r="A38" s="9" t="n">
        <v>403</v>
      </c>
      <c r="B38" s="3" t="s">
        <v>61</v>
      </c>
      <c r="C38" s="10" t="s">
        <v>13</v>
      </c>
      <c r="D38" s="10" t="s">
        <v>23</v>
      </c>
      <c r="E38" s="10" t="s">
        <v>13</v>
      </c>
      <c r="F38" s="11" t="n">
        <f aca="false">IFERROR(VLOOKUP(E38,'Wage Rates'!$A$3:$B$14,2,0),0)</f>
        <v>0</v>
      </c>
    </row>
    <row r="39" customFormat="false" ht="15" hidden="false" customHeight="false" outlineLevel="0" collapsed="false">
      <c r="A39" s="12" t="n">
        <v>402</v>
      </c>
      <c r="B39" s="6" t="s">
        <v>62</v>
      </c>
      <c r="C39" s="13" t="s">
        <v>63</v>
      </c>
      <c r="D39" s="13" t="s">
        <v>23</v>
      </c>
      <c r="E39" s="13" t="s">
        <v>10</v>
      </c>
      <c r="F39" s="14" t="n">
        <f aca="false">IFERROR(VLOOKUP(E39,'Wage Rates'!$A$3:$B$14,2,0),0)</f>
        <v>0</v>
      </c>
    </row>
    <row r="40" customFormat="false" ht="15" hidden="false" customHeight="false" outlineLevel="0" collapsed="false">
      <c r="A40" s="9" t="n">
        <v>401</v>
      </c>
      <c r="B40" s="3" t="s">
        <v>64</v>
      </c>
      <c r="C40" s="10" t="s">
        <v>65</v>
      </c>
      <c r="D40" s="10" t="s">
        <v>23</v>
      </c>
      <c r="E40" s="10" t="s">
        <v>12</v>
      </c>
      <c r="F40" s="11" t="n">
        <f aca="false">IFERROR(VLOOKUP(E40,'Wage Rates'!$A$3:$B$14,2,0),0)</f>
        <v>0</v>
      </c>
    </row>
    <row r="41" customFormat="false" ht="15" hidden="false" customHeight="false" outlineLevel="0" collapsed="false">
      <c r="A41" s="12" t="n">
        <v>400</v>
      </c>
      <c r="B41" s="6" t="s">
        <v>66</v>
      </c>
      <c r="C41" s="13" t="s">
        <v>67</v>
      </c>
      <c r="D41" s="13" t="s">
        <v>23</v>
      </c>
      <c r="E41" s="13" t="s">
        <v>9</v>
      </c>
      <c r="F41" s="14" t="n">
        <f aca="false">IFERROR(VLOOKUP(E41,'Wage Rates'!$A$3:$B$14,2,0),0)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8"/>
    <col collapsed="false" customWidth="true" hidden="false" outlineLevel="0" max="10" min="10" style="0" width="12"/>
  </cols>
  <sheetData>
    <row r="1" customFormat="false" ht="21.75" hidden="false" customHeight="true" outlineLevel="0" collapsed="false">
      <c r="A1" s="15" t="s">
        <v>68</v>
      </c>
      <c r="B1" s="15"/>
      <c r="C1" s="15"/>
      <c r="D1" s="15"/>
      <c r="E1" s="16"/>
      <c r="F1" s="16"/>
      <c r="G1" s="16"/>
      <c r="H1" s="17" t="s">
        <v>69</v>
      </c>
      <c r="I1" s="17"/>
      <c r="J1" s="17"/>
    </row>
    <row r="2" customFormat="false" ht="30" hidden="false" customHeight="true" outlineLevel="0" collapsed="false">
      <c r="A2" s="18" t="s">
        <v>17</v>
      </c>
      <c r="B2" s="18" t="s">
        <v>18</v>
      </c>
      <c r="C2" s="18" t="s">
        <v>19</v>
      </c>
      <c r="D2" s="18" t="s">
        <v>20</v>
      </c>
      <c r="E2" s="18" t="s">
        <v>1</v>
      </c>
      <c r="F2" s="18" t="s">
        <v>70</v>
      </c>
      <c r="G2" s="18" t="s">
        <v>71</v>
      </c>
      <c r="H2" s="18" t="s">
        <v>72</v>
      </c>
      <c r="I2" s="18" t="s">
        <v>73</v>
      </c>
      <c r="J2" s="18" t="s">
        <v>74</v>
      </c>
    </row>
    <row r="3" customFormat="false" ht="15" hidden="false" customHeight="false" outlineLevel="0" collapsed="false">
      <c r="A3" s="10" t="n">
        <v>526</v>
      </c>
      <c r="B3" s="19" t="str">
        <f aca="false">IFERROR(VLOOKUP(A3,'Employee Master'!$A:$F,2,0),"")</f>
        <v>Rabeen</v>
      </c>
      <c r="C3" s="20" t="str">
        <f aca="false">IFERROR(VLOOKUP(A3,'Employee Master'!$A:$F,3,0),"")</f>
        <v>Coffee Roaster</v>
      </c>
      <c r="D3" s="20" t="str">
        <f aca="false">IFERROR(VLOOKUP(A3,'Employee Master'!$A:$F,4,0),"")</f>
        <v>Male</v>
      </c>
      <c r="E3" s="20" t="str">
        <f aca="false">IFERROR(VLOOKUP(A3,'Employee Master'!$A:$F,5,0),"")</f>
        <v>Coffee Roaster</v>
      </c>
      <c r="F3" s="11" t="n">
        <f aca="false">IFERROR(VLOOKUP(A3,'Employee Master'!$A:$F,6,0),0)</f>
        <v>0</v>
      </c>
      <c r="G3" s="21" t="s">
        <v>75</v>
      </c>
      <c r="H3" s="22"/>
      <c r="I3" s="23" t="n">
        <f aca="false">IF(G3="P",1,IF(G3="H",0.5,0))</f>
        <v>1</v>
      </c>
      <c r="J3" s="24" t="n">
        <f aca="false">I3*F3</f>
        <v>0</v>
      </c>
    </row>
    <row r="4" customFormat="false" ht="15" hidden="false" customHeight="false" outlineLevel="0" collapsed="false">
      <c r="A4" s="13" t="n">
        <v>295</v>
      </c>
      <c r="B4" s="25" t="str">
        <f aca="false">IFERROR(VLOOKUP(A4,'Employee Master'!$A:$F,2,0),"")</f>
        <v>Palani</v>
      </c>
      <c r="C4" s="26" t="str">
        <f aca="false">IFERROR(VLOOKUP(A4,'Employee Master'!$A:$F,3,0),"")</f>
        <v>Worker</v>
      </c>
      <c r="D4" s="26" t="str">
        <f aca="false">IFERROR(VLOOKUP(A4,'Employee Master'!$A:$F,4,0),"")</f>
        <v>Male</v>
      </c>
      <c r="E4" s="26" t="str">
        <f aca="false">IFERROR(VLOOKUP(A4,'Employee Master'!$A:$F,5,0),"")</f>
        <v>PF Male Worker</v>
      </c>
      <c r="F4" s="14" t="n">
        <f aca="false">IFERROR(VLOOKUP(A4,'Employee Master'!$A:$F,6,0),0)</f>
        <v>0</v>
      </c>
      <c r="G4" s="21" t="s">
        <v>75</v>
      </c>
      <c r="H4" s="22"/>
      <c r="I4" s="27" t="n">
        <f aca="false">IF(G4="P",1,IF(G4="H",0.5,0))</f>
        <v>1</v>
      </c>
      <c r="J4" s="28" t="n">
        <f aca="false">I4*F4</f>
        <v>0</v>
      </c>
    </row>
    <row r="5" customFormat="false" ht="15" hidden="false" customHeight="false" outlineLevel="0" collapsed="false">
      <c r="A5" s="10" t="n">
        <v>273</v>
      </c>
      <c r="B5" s="19" t="str">
        <f aca="false">IFERROR(VLOOKUP(A5,'Employee Master'!$A:$F,2,0),"")</f>
        <v>Sukru Hembrom</v>
      </c>
      <c r="C5" s="20" t="str">
        <f aca="false">IFERROR(VLOOKUP(A5,'Employee Master'!$A:$F,3,0),"")</f>
        <v>Worker</v>
      </c>
      <c r="D5" s="20" t="str">
        <f aca="false">IFERROR(VLOOKUP(A5,'Employee Master'!$A:$F,4,0),"")</f>
        <v>Male</v>
      </c>
      <c r="E5" s="20" t="str">
        <f aca="false">IFERROR(VLOOKUP(A5,'Employee Master'!$A:$F,5,0),"")</f>
        <v>PF Male Worker</v>
      </c>
      <c r="F5" s="11" t="n">
        <f aca="false">IFERROR(VLOOKUP(A5,'Employee Master'!$A:$F,6,0),0)</f>
        <v>0</v>
      </c>
      <c r="G5" s="21" t="s">
        <v>75</v>
      </c>
      <c r="H5" s="22"/>
      <c r="I5" s="23" t="n">
        <f aca="false">IF(G5="P",1,IF(G5="H",0.5,0))</f>
        <v>1</v>
      </c>
      <c r="J5" s="24" t="n">
        <f aca="false">I5*F5</f>
        <v>0</v>
      </c>
    </row>
    <row r="6" customFormat="false" ht="15" hidden="false" customHeight="false" outlineLevel="0" collapsed="false">
      <c r="A6" s="13" t="n">
        <v>264</v>
      </c>
      <c r="B6" s="25" t="str">
        <f aca="false">IFERROR(VLOOKUP(A6,'Employee Master'!$A:$F,2,0),"")</f>
        <v>Etwa Hembrom</v>
      </c>
      <c r="C6" s="26" t="str">
        <f aca="false">IFERROR(VLOOKUP(A6,'Employee Master'!$A:$F,3,0),"")</f>
        <v>Worker</v>
      </c>
      <c r="D6" s="26" t="str">
        <f aca="false">IFERROR(VLOOKUP(A6,'Employee Master'!$A:$F,4,0),"")</f>
        <v>Male</v>
      </c>
      <c r="E6" s="26" t="str">
        <f aca="false">IFERROR(VLOOKUP(A6,'Employee Master'!$A:$F,5,0),"")</f>
        <v>PF Male Worker</v>
      </c>
      <c r="F6" s="14" t="n">
        <f aca="false">IFERROR(VLOOKUP(A6,'Employee Master'!$A:$F,6,0),0)</f>
        <v>0</v>
      </c>
      <c r="G6" s="21" t="s">
        <v>75</v>
      </c>
      <c r="H6" s="22"/>
      <c r="I6" s="27" t="n">
        <f aca="false">IF(G6="P",1,IF(G6="H",0.5,0))</f>
        <v>1</v>
      </c>
      <c r="J6" s="28" t="n">
        <f aca="false">I6*F6</f>
        <v>0</v>
      </c>
    </row>
    <row r="7" customFormat="false" ht="15" hidden="false" customHeight="false" outlineLevel="0" collapsed="false">
      <c r="A7" s="10" t="n">
        <v>260</v>
      </c>
      <c r="B7" s="19" t="str">
        <f aca="false">IFERROR(VLOOKUP(A7,'Employee Master'!$A:$F,2,0),"")</f>
        <v>Moti Hembrom</v>
      </c>
      <c r="C7" s="20" t="str">
        <f aca="false">IFERROR(VLOOKUP(A7,'Employee Master'!$A:$F,3,0),"")</f>
        <v>Worker</v>
      </c>
      <c r="D7" s="20" t="str">
        <f aca="false">IFERROR(VLOOKUP(A7,'Employee Master'!$A:$F,4,0),"")</f>
        <v>Male</v>
      </c>
      <c r="E7" s="20" t="str">
        <f aca="false">IFERROR(VLOOKUP(A7,'Employee Master'!$A:$F,5,0),"")</f>
        <v>PF Male Worker</v>
      </c>
      <c r="F7" s="11" t="n">
        <f aca="false">IFERROR(VLOOKUP(A7,'Employee Master'!$A:$F,6,0),0)</f>
        <v>0</v>
      </c>
      <c r="G7" s="21" t="s">
        <v>75</v>
      </c>
      <c r="H7" s="22"/>
      <c r="I7" s="23" t="n">
        <f aca="false">IF(G7="P",1,IF(G7="H",0.5,0))</f>
        <v>1</v>
      </c>
      <c r="J7" s="24" t="n">
        <f aca="false">I7*F7</f>
        <v>0</v>
      </c>
    </row>
    <row r="8" customFormat="false" ht="15" hidden="false" customHeight="false" outlineLevel="0" collapsed="false">
      <c r="A8" s="13" t="n">
        <v>259</v>
      </c>
      <c r="B8" s="25" t="str">
        <f aca="false">IFERROR(VLOOKUP(A8,'Employee Master'!$A:$F,2,0),"")</f>
        <v>Mali Soy</v>
      </c>
      <c r="C8" s="26" t="str">
        <f aca="false">IFERROR(VLOOKUP(A8,'Employee Master'!$A:$F,3,0),"")</f>
        <v>Worker</v>
      </c>
      <c r="D8" s="26" t="str">
        <f aca="false">IFERROR(VLOOKUP(A8,'Employee Master'!$A:$F,4,0),"")</f>
        <v>Female</v>
      </c>
      <c r="E8" s="26" t="str">
        <f aca="false">IFERROR(VLOOKUP(A8,'Employee Master'!$A:$F,5,0),"")</f>
        <v>PF Female Worker</v>
      </c>
      <c r="F8" s="14" t="n">
        <f aca="false">IFERROR(VLOOKUP(A8,'Employee Master'!$A:$F,6,0),0)</f>
        <v>0</v>
      </c>
      <c r="G8" s="21" t="s">
        <v>75</v>
      </c>
      <c r="H8" s="22"/>
      <c r="I8" s="27" t="n">
        <f aca="false">IF(G8="P",1,IF(G8="H",0.5,0))</f>
        <v>1</v>
      </c>
      <c r="J8" s="28" t="n">
        <f aca="false">I8*F8</f>
        <v>0</v>
      </c>
    </row>
    <row r="9" customFormat="false" ht="15" hidden="false" customHeight="false" outlineLevel="0" collapsed="false">
      <c r="A9" s="10" t="n">
        <v>499</v>
      </c>
      <c r="B9" s="19" t="str">
        <f aca="false">IFERROR(VLOOKUP(A9,'Employee Master'!$A:$F,2,0),"")</f>
        <v>V Mani</v>
      </c>
      <c r="C9" s="20" t="str">
        <f aca="false">IFERROR(VLOOKUP(A9,'Employee Master'!$A:$F,3,0),"")</f>
        <v>Worker</v>
      </c>
      <c r="D9" s="20" t="str">
        <f aca="false">IFERROR(VLOOKUP(A9,'Employee Master'!$A:$F,4,0),"")</f>
        <v>Male</v>
      </c>
      <c r="E9" s="20" t="str">
        <f aca="false">IFERROR(VLOOKUP(A9,'Employee Master'!$A:$F,5,0),"")</f>
        <v>PF Male Worker</v>
      </c>
      <c r="F9" s="11" t="n">
        <f aca="false">IFERROR(VLOOKUP(A9,'Employee Master'!$A:$F,6,0),0)</f>
        <v>0</v>
      </c>
      <c r="G9" s="21" t="s">
        <v>75</v>
      </c>
      <c r="H9" s="22"/>
      <c r="I9" s="23" t="n">
        <f aca="false">IF(G9="P",1,IF(G9="H",0.5,0))</f>
        <v>1</v>
      </c>
      <c r="J9" s="24" t="n">
        <f aca="false">I9*F9</f>
        <v>0</v>
      </c>
    </row>
    <row r="10" customFormat="false" ht="15" hidden="false" customHeight="false" outlineLevel="0" collapsed="false">
      <c r="A10" s="13" t="n">
        <v>443</v>
      </c>
      <c r="B10" s="25" t="str">
        <f aca="false">IFERROR(VLOOKUP(A10,'Employee Master'!$A:$F,2,0),"")</f>
        <v>Chelladurai</v>
      </c>
      <c r="C10" s="26" t="str">
        <f aca="false">IFERROR(VLOOKUP(A10,'Employee Master'!$A:$F,3,0),"")</f>
        <v>Worker</v>
      </c>
      <c r="D10" s="26" t="str">
        <f aca="false">IFERROR(VLOOKUP(A10,'Employee Master'!$A:$F,4,0),"")</f>
        <v>Male</v>
      </c>
      <c r="E10" s="26" t="str">
        <f aca="false">IFERROR(VLOOKUP(A10,'Employee Master'!$A:$F,5,0),"")</f>
        <v>PF Male Worker</v>
      </c>
      <c r="F10" s="14" t="n">
        <f aca="false">IFERROR(VLOOKUP(A10,'Employee Master'!$A:$F,6,0),0)</f>
        <v>0</v>
      </c>
      <c r="G10" s="21" t="s">
        <v>75</v>
      </c>
      <c r="H10" s="22"/>
      <c r="I10" s="27" t="n">
        <f aca="false">IF(G10="P",1,IF(G10="H",0.5,0))</f>
        <v>1</v>
      </c>
      <c r="J10" s="28" t="n">
        <f aca="false">I10*F10</f>
        <v>0</v>
      </c>
    </row>
    <row r="11" customFormat="false" ht="15" hidden="false" customHeight="false" outlineLevel="0" collapsed="false">
      <c r="A11" s="10" t="n">
        <v>442</v>
      </c>
      <c r="B11" s="19" t="str">
        <f aca="false">IFERROR(VLOOKUP(A11,'Employee Master'!$A:$F,2,0),"")</f>
        <v>Thamaraiselvi Siva</v>
      </c>
      <c r="C11" s="20" t="str">
        <f aca="false">IFERROR(VLOOKUP(A11,'Employee Master'!$A:$F,3,0),"")</f>
        <v>Worker</v>
      </c>
      <c r="D11" s="20" t="str">
        <f aca="false">IFERROR(VLOOKUP(A11,'Employee Master'!$A:$F,4,0),"")</f>
        <v>Female</v>
      </c>
      <c r="E11" s="20" t="str">
        <f aca="false">IFERROR(VLOOKUP(A11,'Employee Master'!$A:$F,5,0),"")</f>
        <v>PF Female Worker</v>
      </c>
      <c r="F11" s="11" t="n">
        <f aca="false">IFERROR(VLOOKUP(A11,'Employee Master'!$A:$F,6,0),0)</f>
        <v>0</v>
      </c>
      <c r="G11" s="21" t="s">
        <v>75</v>
      </c>
      <c r="H11" s="22"/>
      <c r="I11" s="23" t="n">
        <f aca="false">IF(G11="P",1,IF(G11="H",0.5,0))</f>
        <v>1</v>
      </c>
      <c r="J11" s="24" t="n">
        <f aca="false">I11*F11</f>
        <v>0</v>
      </c>
    </row>
    <row r="12" customFormat="false" ht="15" hidden="false" customHeight="false" outlineLevel="0" collapsed="false">
      <c r="A12" s="13" t="n">
        <v>441</v>
      </c>
      <c r="B12" s="25" t="str">
        <f aca="false">IFERROR(VLOOKUP(A12,'Employee Master'!$A:$F,2,0),"")</f>
        <v>Budhani Purti</v>
      </c>
      <c r="C12" s="26" t="str">
        <f aca="false">IFERROR(VLOOKUP(A12,'Employee Master'!$A:$F,3,0),"")</f>
        <v>Worker</v>
      </c>
      <c r="D12" s="26" t="str">
        <f aca="false">IFERROR(VLOOKUP(A12,'Employee Master'!$A:$F,4,0),"")</f>
        <v>Male</v>
      </c>
      <c r="E12" s="26" t="str">
        <f aca="false">IFERROR(VLOOKUP(A12,'Employee Master'!$A:$F,5,0),"")</f>
        <v>PF Male Worker</v>
      </c>
      <c r="F12" s="14" t="n">
        <f aca="false">IFERROR(VLOOKUP(A12,'Employee Master'!$A:$F,6,0),0)</f>
        <v>0</v>
      </c>
      <c r="G12" s="21" t="s">
        <v>75</v>
      </c>
      <c r="H12" s="22"/>
      <c r="I12" s="27" t="n">
        <f aca="false">IF(G12="P",1,IF(G12="H",0.5,0))</f>
        <v>1</v>
      </c>
      <c r="J12" s="28" t="n">
        <f aca="false">I12*F12</f>
        <v>0</v>
      </c>
    </row>
    <row r="13" customFormat="false" ht="15" hidden="false" customHeight="false" outlineLevel="0" collapsed="false">
      <c r="A13" s="10" t="n">
        <v>438</v>
      </c>
      <c r="B13" s="19" t="str">
        <f aca="false">IFERROR(VLOOKUP(A13,'Employee Master'!$A:$F,2,0),"")</f>
        <v>Lakshmi Arumugam</v>
      </c>
      <c r="C13" s="20" t="str">
        <f aca="false">IFERROR(VLOOKUP(A13,'Employee Master'!$A:$F,3,0),"")</f>
        <v>Worker</v>
      </c>
      <c r="D13" s="20" t="str">
        <f aca="false">IFERROR(VLOOKUP(A13,'Employee Master'!$A:$F,4,0),"")</f>
        <v>Female</v>
      </c>
      <c r="E13" s="20" t="str">
        <f aca="false">IFERROR(VLOOKUP(A13,'Employee Master'!$A:$F,5,0),"")</f>
        <v>PF Female Worker</v>
      </c>
      <c r="F13" s="11" t="n">
        <f aca="false">IFERROR(VLOOKUP(A13,'Employee Master'!$A:$F,6,0),0)</f>
        <v>0</v>
      </c>
      <c r="G13" s="21" t="s">
        <v>75</v>
      </c>
      <c r="H13" s="22"/>
      <c r="I13" s="23" t="n">
        <f aca="false">IF(G13="P",1,IF(G13="H",0.5,0))</f>
        <v>1</v>
      </c>
      <c r="J13" s="24" t="n">
        <f aca="false">I13*F13</f>
        <v>0</v>
      </c>
    </row>
    <row r="14" customFormat="false" ht="15" hidden="false" customHeight="false" outlineLevel="0" collapsed="false">
      <c r="A14" s="13" t="n">
        <v>437</v>
      </c>
      <c r="B14" s="25" t="str">
        <f aca="false">IFERROR(VLOOKUP(A14,'Employee Master'!$A:$F,2,0),"")</f>
        <v>M Murugeshwari</v>
      </c>
      <c r="C14" s="26" t="str">
        <f aca="false">IFERROR(VLOOKUP(A14,'Employee Master'!$A:$F,3,0),"")</f>
        <v>Worker</v>
      </c>
      <c r="D14" s="26" t="str">
        <f aca="false">IFERROR(VLOOKUP(A14,'Employee Master'!$A:$F,4,0),"")</f>
        <v>Female</v>
      </c>
      <c r="E14" s="26" t="str">
        <f aca="false">IFERROR(VLOOKUP(A14,'Employee Master'!$A:$F,5,0),"")</f>
        <v>PF Female Worker</v>
      </c>
      <c r="F14" s="14" t="n">
        <f aca="false">IFERROR(VLOOKUP(A14,'Employee Master'!$A:$F,6,0),0)</f>
        <v>0</v>
      </c>
      <c r="G14" s="21" t="s">
        <v>75</v>
      </c>
      <c r="H14" s="22"/>
      <c r="I14" s="27" t="n">
        <f aca="false">IF(G14="P",1,IF(G14="H",0.5,0))</f>
        <v>1</v>
      </c>
      <c r="J14" s="28" t="n">
        <f aca="false">I14*F14</f>
        <v>0</v>
      </c>
    </row>
    <row r="15" customFormat="false" ht="15" hidden="false" customHeight="false" outlineLevel="0" collapsed="false">
      <c r="A15" s="10" t="n">
        <v>436</v>
      </c>
      <c r="B15" s="19" t="str">
        <f aca="false">IFERROR(VLOOKUP(A15,'Employee Master'!$A:$F,2,0),"")</f>
        <v>Mangaleshwari Kumar</v>
      </c>
      <c r="C15" s="20" t="str">
        <f aca="false">IFERROR(VLOOKUP(A15,'Employee Master'!$A:$F,3,0),"")</f>
        <v>Worker</v>
      </c>
      <c r="D15" s="20" t="str">
        <f aca="false">IFERROR(VLOOKUP(A15,'Employee Master'!$A:$F,4,0),"")</f>
        <v>Female</v>
      </c>
      <c r="E15" s="20" t="str">
        <f aca="false">IFERROR(VLOOKUP(A15,'Employee Master'!$A:$F,5,0),"")</f>
        <v>PF Female Worker</v>
      </c>
      <c r="F15" s="11" t="n">
        <f aca="false">IFERROR(VLOOKUP(A15,'Employee Master'!$A:$F,6,0),0)</f>
        <v>0</v>
      </c>
      <c r="G15" s="21" t="s">
        <v>75</v>
      </c>
      <c r="H15" s="22"/>
      <c r="I15" s="23" t="n">
        <f aca="false">IF(G15="P",1,IF(G15="H",0.5,0))</f>
        <v>1</v>
      </c>
      <c r="J15" s="24" t="n">
        <f aca="false">I15*F15</f>
        <v>0</v>
      </c>
    </row>
    <row r="16" customFormat="false" ht="15" hidden="false" customHeight="false" outlineLevel="0" collapsed="false">
      <c r="A16" s="13" t="n">
        <v>435</v>
      </c>
      <c r="B16" s="25" t="str">
        <f aca="false">IFERROR(VLOOKUP(A16,'Employee Master'!$A:$F,2,0),"")</f>
        <v>Sutha</v>
      </c>
      <c r="C16" s="26" t="str">
        <f aca="false">IFERROR(VLOOKUP(A16,'Employee Master'!$A:$F,3,0),"")</f>
        <v>Worker</v>
      </c>
      <c r="D16" s="26" t="str">
        <f aca="false">IFERROR(VLOOKUP(A16,'Employee Master'!$A:$F,4,0),"")</f>
        <v>Female</v>
      </c>
      <c r="E16" s="26" t="str">
        <f aca="false">IFERROR(VLOOKUP(A16,'Employee Master'!$A:$F,5,0),"")</f>
        <v>PF Female Worker</v>
      </c>
      <c r="F16" s="14" t="n">
        <f aca="false">IFERROR(VLOOKUP(A16,'Employee Master'!$A:$F,6,0),0)</f>
        <v>0</v>
      </c>
      <c r="G16" s="21" t="s">
        <v>75</v>
      </c>
      <c r="H16" s="22"/>
      <c r="I16" s="27" t="n">
        <f aca="false">IF(G16="P",1,IF(G16="H",0.5,0))</f>
        <v>1</v>
      </c>
      <c r="J16" s="28" t="n">
        <f aca="false">I16*F16</f>
        <v>0</v>
      </c>
    </row>
    <row r="17" customFormat="false" ht="15" hidden="false" customHeight="false" outlineLevel="0" collapsed="false">
      <c r="A17" s="10" t="n">
        <v>434</v>
      </c>
      <c r="B17" s="19" t="str">
        <f aca="false">IFERROR(VLOOKUP(A17,'Employee Master'!$A:$F,2,0),"")</f>
        <v>P Sadatchi</v>
      </c>
      <c r="C17" s="20" t="str">
        <f aca="false">IFERROR(VLOOKUP(A17,'Employee Master'!$A:$F,3,0),"")</f>
        <v>Worker</v>
      </c>
      <c r="D17" s="20" t="str">
        <f aca="false">IFERROR(VLOOKUP(A17,'Employee Master'!$A:$F,4,0),"")</f>
        <v>Female</v>
      </c>
      <c r="E17" s="20" t="str">
        <f aca="false">IFERROR(VLOOKUP(A17,'Employee Master'!$A:$F,5,0),"")</f>
        <v>PF Female Worker</v>
      </c>
      <c r="F17" s="11" t="n">
        <f aca="false">IFERROR(VLOOKUP(A17,'Employee Master'!$A:$F,6,0),0)</f>
        <v>0</v>
      </c>
      <c r="G17" s="21" t="s">
        <v>75</v>
      </c>
      <c r="H17" s="22"/>
      <c r="I17" s="23" t="n">
        <f aca="false">IF(G17="P",1,IF(G17="H",0.5,0))</f>
        <v>1</v>
      </c>
      <c r="J17" s="24" t="n">
        <f aca="false">I17*F17</f>
        <v>0</v>
      </c>
    </row>
    <row r="18" customFormat="false" ht="15" hidden="false" customHeight="false" outlineLevel="0" collapsed="false">
      <c r="A18" s="13" t="n">
        <v>433</v>
      </c>
      <c r="B18" s="25" t="str">
        <f aca="false">IFERROR(VLOOKUP(A18,'Employee Master'!$A:$F,2,0),"")</f>
        <v>S Rasathi</v>
      </c>
      <c r="C18" s="26" t="str">
        <f aca="false">IFERROR(VLOOKUP(A18,'Employee Master'!$A:$F,3,0),"")</f>
        <v>Worker</v>
      </c>
      <c r="D18" s="26" t="str">
        <f aca="false">IFERROR(VLOOKUP(A18,'Employee Master'!$A:$F,4,0),"")</f>
        <v>Female</v>
      </c>
      <c r="E18" s="26" t="str">
        <f aca="false">IFERROR(VLOOKUP(A18,'Employee Master'!$A:$F,5,0),"")</f>
        <v>PF Female Worker</v>
      </c>
      <c r="F18" s="14" t="n">
        <f aca="false">IFERROR(VLOOKUP(A18,'Employee Master'!$A:$F,6,0),0)</f>
        <v>0</v>
      </c>
      <c r="G18" s="21" t="s">
        <v>75</v>
      </c>
      <c r="H18" s="22"/>
      <c r="I18" s="27" t="n">
        <f aca="false">IF(G18="P",1,IF(G18="H",0.5,0))</f>
        <v>1</v>
      </c>
      <c r="J18" s="28" t="n">
        <f aca="false">I18*F18</f>
        <v>0</v>
      </c>
    </row>
    <row r="19" customFormat="false" ht="15" hidden="false" customHeight="false" outlineLevel="0" collapsed="false">
      <c r="A19" s="10" t="n">
        <v>432</v>
      </c>
      <c r="B19" s="19" t="str">
        <f aca="false">IFERROR(VLOOKUP(A19,'Employee Master'!$A:$F,2,0),"")</f>
        <v>Manjula Gnansekaran</v>
      </c>
      <c r="C19" s="20" t="str">
        <f aca="false">IFERROR(VLOOKUP(A19,'Employee Master'!$A:$F,3,0),"")</f>
        <v>Worker</v>
      </c>
      <c r="D19" s="20" t="str">
        <f aca="false">IFERROR(VLOOKUP(A19,'Employee Master'!$A:$F,4,0),"")</f>
        <v>Female</v>
      </c>
      <c r="E19" s="20" t="str">
        <f aca="false">IFERROR(VLOOKUP(A19,'Employee Master'!$A:$F,5,0),"")</f>
        <v>PF Female Worker</v>
      </c>
      <c r="F19" s="11" t="n">
        <f aca="false">IFERROR(VLOOKUP(A19,'Employee Master'!$A:$F,6,0),0)</f>
        <v>0</v>
      </c>
      <c r="G19" s="21" t="s">
        <v>75</v>
      </c>
      <c r="H19" s="22"/>
      <c r="I19" s="23" t="n">
        <f aca="false">IF(G19="P",1,IF(G19="H",0.5,0))</f>
        <v>1</v>
      </c>
      <c r="J19" s="24" t="n">
        <f aca="false">I19*F19</f>
        <v>0</v>
      </c>
    </row>
    <row r="20" customFormat="false" ht="15" hidden="false" customHeight="false" outlineLevel="0" collapsed="false">
      <c r="A20" s="13" t="n">
        <v>431</v>
      </c>
      <c r="B20" s="25" t="str">
        <f aca="false">IFERROR(VLOOKUP(A20,'Employee Master'!$A:$F,2,0),"")</f>
        <v>Palaniyammal Panner</v>
      </c>
      <c r="C20" s="26" t="str">
        <f aca="false">IFERROR(VLOOKUP(A20,'Employee Master'!$A:$F,3,0),"")</f>
        <v>Worker</v>
      </c>
      <c r="D20" s="26" t="str">
        <f aca="false">IFERROR(VLOOKUP(A20,'Employee Master'!$A:$F,4,0),"")</f>
        <v>Female</v>
      </c>
      <c r="E20" s="26" t="str">
        <f aca="false">IFERROR(VLOOKUP(A20,'Employee Master'!$A:$F,5,0),"")</f>
        <v>PF Female Worker</v>
      </c>
      <c r="F20" s="14" t="n">
        <f aca="false">IFERROR(VLOOKUP(A20,'Employee Master'!$A:$F,6,0),0)</f>
        <v>0</v>
      </c>
      <c r="G20" s="21" t="s">
        <v>75</v>
      </c>
      <c r="H20" s="22"/>
      <c r="I20" s="27" t="n">
        <f aca="false">IF(G20="P",1,IF(G20="H",0.5,0))</f>
        <v>1</v>
      </c>
      <c r="J20" s="28" t="n">
        <f aca="false">I20*F20</f>
        <v>0</v>
      </c>
    </row>
    <row r="21" customFormat="false" ht="15" hidden="false" customHeight="false" outlineLevel="0" collapsed="false">
      <c r="A21" s="10" t="n">
        <v>430</v>
      </c>
      <c r="B21" s="19" t="str">
        <f aca="false">IFERROR(VLOOKUP(A21,'Employee Master'!$A:$F,2,0),"")</f>
        <v>Sivalakshmi Govindharaj</v>
      </c>
      <c r="C21" s="20" t="str">
        <f aca="false">IFERROR(VLOOKUP(A21,'Employee Master'!$A:$F,3,0),"")</f>
        <v>Worker</v>
      </c>
      <c r="D21" s="20" t="str">
        <f aca="false">IFERROR(VLOOKUP(A21,'Employee Master'!$A:$F,4,0),"")</f>
        <v>Female</v>
      </c>
      <c r="E21" s="20" t="str">
        <f aca="false">IFERROR(VLOOKUP(A21,'Employee Master'!$A:$F,5,0),"")</f>
        <v>PF Female Worker</v>
      </c>
      <c r="F21" s="11" t="n">
        <f aca="false">IFERROR(VLOOKUP(A21,'Employee Master'!$A:$F,6,0),0)</f>
        <v>0</v>
      </c>
      <c r="G21" s="21" t="s">
        <v>75</v>
      </c>
      <c r="H21" s="22"/>
      <c r="I21" s="23" t="n">
        <f aca="false">IF(G21="P",1,IF(G21="H",0.5,0))</f>
        <v>1</v>
      </c>
      <c r="J21" s="24" t="n">
        <f aca="false">I21*F21</f>
        <v>0</v>
      </c>
    </row>
    <row r="22" customFormat="false" ht="15" hidden="false" customHeight="false" outlineLevel="0" collapsed="false">
      <c r="A22" s="13" t="n">
        <v>429</v>
      </c>
      <c r="B22" s="25" t="str">
        <f aca="false">IFERROR(VLOOKUP(A22,'Employee Master'!$A:$F,2,0),"")</f>
        <v>Chinthamani Palanisamy</v>
      </c>
      <c r="C22" s="26" t="str">
        <f aca="false">IFERROR(VLOOKUP(A22,'Employee Master'!$A:$F,3,0),"")</f>
        <v>Worker</v>
      </c>
      <c r="D22" s="26" t="str">
        <f aca="false">IFERROR(VLOOKUP(A22,'Employee Master'!$A:$F,4,0),"")</f>
        <v>Female</v>
      </c>
      <c r="E22" s="26" t="str">
        <f aca="false">IFERROR(VLOOKUP(A22,'Employee Master'!$A:$F,5,0),"")</f>
        <v>PF Female Worker</v>
      </c>
      <c r="F22" s="14" t="n">
        <f aca="false">IFERROR(VLOOKUP(A22,'Employee Master'!$A:$F,6,0),0)</f>
        <v>0</v>
      </c>
      <c r="G22" s="21" t="s">
        <v>75</v>
      </c>
      <c r="H22" s="22"/>
      <c r="I22" s="27" t="n">
        <f aca="false">IF(G22="P",1,IF(G22="H",0.5,0))</f>
        <v>1</v>
      </c>
      <c r="J22" s="28" t="n">
        <f aca="false">I22*F22</f>
        <v>0</v>
      </c>
    </row>
    <row r="23" customFormat="false" ht="15" hidden="false" customHeight="false" outlineLevel="0" collapsed="false">
      <c r="A23" s="10" t="n">
        <v>428</v>
      </c>
      <c r="B23" s="19" t="str">
        <f aca="false">IFERROR(VLOOKUP(A23,'Employee Master'!$A:$F,2,0),"")</f>
        <v>Kuppayi Palanisamy</v>
      </c>
      <c r="C23" s="20" t="str">
        <f aca="false">IFERROR(VLOOKUP(A23,'Employee Master'!$A:$F,3,0),"")</f>
        <v>Worker</v>
      </c>
      <c r="D23" s="20" t="str">
        <f aca="false">IFERROR(VLOOKUP(A23,'Employee Master'!$A:$F,4,0),"")</f>
        <v>Female</v>
      </c>
      <c r="E23" s="20" t="str">
        <f aca="false">IFERROR(VLOOKUP(A23,'Employee Master'!$A:$F,5,0),"")</f>
        <v>PF Female Worker</v>
      </c>
      <c r="F23" s="11" t="n">
        <f aca="false">IFERROR(VLOOKUP(A23,'Employee Master'!$A:$F,6,0),0)</f>
        <v>0</v>
      </c>
      <c r="G23" s="21" t="s">
        <v>75</v>
      </c>
      <c r="H23" s="22"/>
      <c r="I23" s="23" t="n">
        <f aca="false">IF(G23="P",1,IF(G23="H",0.5,0))</f>
        <v>1</v>
      </c>
      <c r="J23" s="24" t="n">
        <f aca="false">I23*F23</f>
        <v>0</v>
      </c>
    </row>
    <row r="24" customFormat="false" ht="15" hidden="false" customHeight="false" outlineLevel="0" collapsed="false">
      <c r="A24" s="13" t="n">
        <v>427</v>
      </c>
      <c r="B24" s="25" t="str">
        <f aca="false">IFERROR(VLOOKUP(A24,'Employee Master'!$A:$F,2,0),"")</f>
        <v>Ramayee</v>
      </c>
      <c r="C24" s="26" t="str">
        <f aca="false">IFERROR(VLOOKUP(A24,'Employee Master'!$A:$F,3,0),"")</f>
        <v>Worker</v>
      </c>
      <c r="D24" s="26" t="str">
        <f aca="false">IFERROR(VLOOKUP(A24,'Employee Master'!$A:$F,4,0),"")</f>
        <v>Female</v>
      </c>
      <c r="E24" s="26" t="str">
        <f aca="false">IFERROR(VLOOKUP(A24,'Employee Master'!$A:$F,5,0),"")</f>
        <v>PF Female Worker</v>
      </c>
      <c r="F24" s="14" t="n">
        <f aca="false">IFERROR(VLOOKUP(A24,'Employee Master'!$A:$F,6,0),0)</f>
        <v>0</v>
      </c>
      <c r="G24" s="21" t="s">
        <v>75</v>
      </c>
      <c r="H24" s="22"/>
      <c r="I24" s="27" t="n">
        <f aca="false">IF(G24="P",1,IF(G24="H",0.5,0))</f>
        <v>1</v>
      </c>
      <c r="J24" s="28" t="n">
        <f aca="false">I24*F24</f>
        <v>0</v>
      </c>
    </row>
    <row r="25" customFormat="false" ht="15" hidden="false" customHeight="false" outlineLevel="0" collapsed="false">
      <c r="A25" s="10" t="n">
        <v>426</v>
      </c>
      <c r="B25" s="19" t="str">
        <f aca="false">IFERROR(VLOOKUP(A25,'Employee Master'!$A:$F,2,0),"")</f>
        <v>A Annapoorani</v>
      </c>
      <c r="C25" s="20" t="str">
        <f aca="false">IFERROR(VLOOKUP(A25,'Employee Master'!$A:$F,3,0),"")</f>
        <v>Cook</v>
      </c>
      <c r="D25" s="20" t="str">
        <f aca="false">IFERROR(VLOOKUP(A25,'Employee Master'!$A:$F,4,0),"")</f>
        <v>Female</v>
      </c>
      <c r="E25" s="20" t="str">
        <f aca="false">IFERROR(VLOOKUP(A25,'Employee Master'!$A:$F,5,0),"")</f>
        <v>Cook</v>
      </c>
      <c r="F25" s="11" t="n">
        <f aca="false">IFERROR(VLOOKUP(A25,'Employee Master'!$A:$F,6,0),0)</f>
        <v>0</v>
      </c>
      <c r="G25" s="21" t="s">
        <v>75</v>
      </c>
      <c r="H25" s="22"/>
      <c r="I25" s="23" t="n">
        <f aca="false">IF(G25="P",1,IF(G25="H",0.5,0))</f>
        <v>1</v>
      </c>
      <c r="J25" s="24" t="n">
        <f aca="false">I25*F25</f>
        <v>0</v>
      </c>
    </row>
    <row r="26" customFormat="false" ht="15" hidden="false" customHeight="false" outlineLevel="0" collapsed="false">
      <c r="A26" s="13" t="n">
        <v>425</v>
      </c>
      <c r="B26" s="25" t="str">
        <f aca="false">IFERROR(VLOOKUP(A26,'Employee Master'!$A:$F,2,0),"")</f>
        <v>T Sumathi</v>
      </c>
      <c r="C26" s="26" t="str">
        <f aca="false">IFERROR(VLOOKUP(A26,'Employee Master'!$A:$F,3,0),"")</f>
        <v>Cook</v>
      </c>
      <c r="D26" s="26" t="str">
        <f aca="false">IFERROR(VLOOKUP(A26,'Employee Master'!$A:$F,4,0),"")</f>
        <v>Female</v>
      </c>
      <c r="E26" s="26" t="str">
        <f aca="false">IFERROR(VLOOKUP(A26,'Employee Master'!$A:$F,5,0),"")</f>
        <v>Cook</v>
      </c>
      <c r="F26" s="14" t="n">
        <f aca="false">IFERROR(VLOOKUP(A26,'Employee Master'!$A:$F,6,0),0)</f>
        <v>0</v>
      </c>
      <c r="G26" s="21" t="s">
        <v>75</v>
      </c>
      <c r="H26" s="22"/>
      <c r="I26" s="27" t="n">
        <f aca="false">IF(G26="P",1,IF(G26="H",0.5,0))</f>
        <v>1</v>
      </c>
      <c r="J26" s="28" t="n">
        <f aca="false">I26*F26</f>
        <v>0</v>
      </c>
    </row>
    <row r="27" customFormat="false" ht="15" hidden="false" customHeight="false" outlineLevel="0" collapsed="false">
      <c r="A27" s="10" t="n">
        <v>424</v>
      </c>
      <c r="B27" s="19" t="str">
        <f aca="false">IFERROR(VLOOKUP(A27,'Employee Master'!$A:$F,2,0),"")</f>
        <v>Sivakami</v>
      </c>
      <c r="C27" s="20" t="str">
        <f aca="false">IFERROR(VLOOKUP(A27,'Employee Master'!$A:$F,3,0),"")</f>
        <v>Worker</v>
      </c>
      <c r="D27" s="20" t="str">
        <f aca="false">IFERROR(VLOOKUP(A27,'Employee Master'!$A:$F,4,0),"")</f>
        <v>Female</v>
      </c>
      <c r="E27" s="20" t="str">
        <f aca="false">IFERROR(VLOOKUP(A27,'Employee Master'!$A:$F,5,0),"")</f>
        <v>PF Female Worker</v>
      </c>
      <c r="F27" s="11" t="n">
        <f aca="false">IFERROR(VLOOKUP(A27,'Employee Master'!$A:$F,6,0),0)</f>
        <v>0</v>
      </c>
      <c r="G27" s="21" t="s">
        <v>75</v>
      </c>
      <c r="H27" s="22"/>
      <c r="I27" s="23" t="n">
        <f aca="false">IF(G27="P",1,IF(G27="H",0.5,0))</f>
        <v>1</v>
      </c>
      <c r="J27" s="24" t="n">
        <f aca="false">I27*F27</f>
        <v>0</v>
      </c>
    </row>
    <row r="28" customFormat="false" ht="15" hidden="false" customHeight="false" outlineLevel="0" collapsed="false">
      <c r="A28" s="13" t="n">
        <v>423</v>
      </c>
      <c r="B28" s="25" t="str">
        <f aca="false">IFERROR(VLOOKUP(A28,'Employee Master'!$A:$F,2,0),"")</f>
        <v>S Sumathi</v>
      </c>
      <c r="C28" s="26" t="str">
        <f aca="false">IFERROR(VLOOKUP(A28,'Employee Master'!$A:$F,3,0),"")</f>
        <v>Worker</v>
      </c>
      <c r="D28" s="26" t="str">
        <f aca="false">IFERROR(VLOOKUP(A28,'Employee Master'!$A:$F,4,0),"")</f>
        <v>Female</v>
      </c>
      <c r="E28" s="26" t="str">
        <f aca="false">IFERROR(VLOOKUP(A28,'Employee Master'!$A:$F,5,0),"")</f>
        <v>PF Female Worker</v>
      </c>
      <c r="F28" s="14" t="n">
        <f aca="false">IFERROR(VLOOKUP(A28,'Employee Master'!$A:$F,6,0),0)</f>
        <v>0</v>
      </c>
      <c r="G28" s="21" t="s">
        <v>75</v>
      </c>
      <c r="H28" s="22"/>
      <c r="I28" s="27" t="n">
        <f aca="false">IF(G28="P",1,IF(G28="H",0.5,0))</f>
        <v>1</v>
      </c>
      <c r="J28" s="28" t="n">
        <f aca="false">I28*F28</f>
        <v>0</v>
      </c>
    </row>
    <row r="29" customFormat="false" ht="15" hidden="false" customHeight="false" outlineLevel="0" collapsed="false">
      <c r="A29" s="10" t="n">
        <v>420</v>
      </c>
      <c r="B29" s="19" t="str">
        <f aca="false">IFERROR(VLOOKUP(A29,'Employee Master'!$A:$F,2,0),"")</f>
        <v>Kuppusamy</v>
      </c>
      <c r="C29" s="20" t="str">
        <f aca="false">IFERROR(VLOOKUP(A29,'Employee Master'!$A:$F,3,0),"")</f>
        <v>Watchman</v>
      </c>
      <c r="D29" s="20" t="str">
        <f aca="false">IFERROR(VLOOKUP(A29,'Employee Master'!$A:$F,4,0),"")</f>
        <v>Male</v>
      </c>
      <c r="E29" s="20" t="str">
        <f aca="false">IFERROR(VLOOKUP(A29,'Employee Master'!$A:$F,5,0),"")</f>
        <v>Watchman</v>
      </c>
      <c r="F29" s="11" t="n">
        <f aca="false">IFERROR(VLOOKUP(A29,'Employee Master'!$A:$F,6,0),0)</f>
        <v>0</v>
      </c>
      <c r="G29" s="21" t="s">
        <v>75</v>
      </c>
      <c r="H29" s="22"/>
      <c r="I29" s="23" t="n">
        <f aca="false">IF(G29="P",1,IF(G29="H",0.5,0))</f>
        <v>1</v>
      </c>
      <c r="J29" s="24" t="n">
        <f aca="false">I29*F29</f>
        <v>0</v>
      </c>
    </row>
    <row r="30" customFormat="false" ht="15" hidden="false" customHeight="false" outlineLevel="0" collapsed="false">
      <c r="A30" s="13" t="n">
        <v>414</v>
      </c>
      <c r="B30" s="25" t="str">
        <f aca="false">IFERROR(VLOOKUP(A30,'Employee Master'!$A:$F,2,0),"")</f>
        <v>Sanika Hembrom</v>
      </c>
      <c r="C30" s="26" t="str">
        <f aca="false">IFERROR(VLOOKUP(A30,'Employee Master'!$A:$F,3,0),"")</f>
        <v>Worker</v>
      </c>
      <c r="D30" s="26" t="str">
        <f aca="false">IFERROR(VLOOKUP(A30,'Employee Master'!$A:$F,4,0),"")</f>
        <v>Female</v>
      </c>
      <c r="E30" s="26" t="str">
        <f aca="false">IFERROR(VLOOKUP(A30,'Employee Master'!$A:$F,5,0),"")</f>
        <v>PF Female Worker</v>
      </c>
      <c r="F30" s="14" t="n">
        <f aca="false">IFERROR(VLOOKUP(A30,'Employee Master'!$A:$F,6,0),0)</f>
        <v>0</v>
      </c>
      <c r="G30" s="21" t="s">
        <v>75</v>
      </c>
      <c r="H30" s="22"/>
      <c r="I30" s="27" t="n">
        <f aca="false">IF(G30="P",1,IF(G30="H",0.5,0))</f>
        <v>1</v>
      </c>
      <c r="J30" s="28" t="n">
        <f aca="false">I30*F30</f>
        <v>0</v>
      </c>
    </row>
    <row r="31" customFormat="false" ht="15" hidden="false" customHeight="false" outlineLevel="0" collapsed="false">
      <c r="A31" s="10" t="n">
        <v>412</v>
      </c>
      <c r="B31" s="19" t="str">
        <f aca="false">IFERROR(VLOOKUP(A31,'Employee Master'!$A:$F,2,0),"")</f>
        <v>Mangra Diggi</v>
      </c>
      <c r="C31" s="20" t="str">
        <f aca="false">IFERROR(VLOOKUP(A31,'Employee Master'!$A:$F,3,0),"")</f>
        <v>Worker</v>
      </c>
      <c r="D31" s="20" t="str">
        <f aca="false">IFERROR(VLOOKUP(A31,'Employee Master'!$A:$F,4,0),"")</f>
        <v>Male</v>
      </c>
      <c r="E31" s="20" t="str">
        <f aca="false">IFERROR(VLOOKUP(A31,'Employee Master'!$A:$F,5,0),"")</f>
        <v>PF Male Worker</v>
      </c>
      <c r="F31" s="11" t="n">
        <f aca="false">IFERROR(VLOOKUP(A31,'Employee Master'!$A:$F,6,0),0)</f>
        <v>0</v>
      </c>
      <c r="G31" s="21" t="s">
        <v>75</v>
      </c>
      <c r="H31" s="22"/>
      <c r="I31" s="23" t="n">
        <f aca="false">IF(G31="P",1,IF(G31="H",0.5,0))</f>
        <v>1</v>
      </c>
      <c r="J31" s="24" t="n">
        <f aca="false">I31*F31</f>
        <v>0</v>
      </c>
    </row>
    <row r="32" customFormat="false" ht="15" hidden="false" customHeight="false" outlineLevel="0" collapsed="false">
      <c r="A32" s="13" t="n">
        <v>410</v>
      </c>
      <c r="B32" s="25" t="str">
        <f aca="false">IFERROR(VLOOKUP(A32,'Employee Master'!$A:$F,2,0),"")</f>
        <v>Pitchai</v>
      </c>
      <c r="C32" s="26" t="str">
        <f aca="false">IFERROR(VLOOKUP(A32,'Employee Master'!$A:$F,3,0),"")</f>
        <v>Worker</v>
      </c>
      <c r="D32" s="26" t="str">
        <f aca="false">IFERROR(VLOOKUP(A32,'Employee Master'!$A:$F,4,0),"")</f>
        <v>Male</v>
      </c>
      <c r="E32" s="26" t="str">
        <f aca="false">IFERROR(VLOOKUP(A32,'Employee Master'!$A:$F,5,0),"")</f>
        <v>PF Male Worker</v>
      </c>
      <c r="F32" s="14" t="n">
        <f aca="false">IFERROR(VLOOKUP(A32,'Employee Master'!$A:$F,6,0),0)</f>
        <v>0</v>
      </c>
      <c r="G32" s="21" t="s">
        <v>75</v>
      </c>
      <c r="H32" s="22"/>
      <c r="I32" s="27" t="n">
        <f aca="false">IF(G32="P",1,IF(G32="H",0.5,0))</f>
        <v>1</v>
      </c>
      <c r="J32" s="28" t="n">
        <f aca="false">I32*F32</f>
        <v>0</v>
      </c>
    </row>
    <row r="33" customFormat="false" ht="15" hidden="false" customHeight="false" outlineLevel="0" collapsed="false">
      <c r="A33" s="10" t="n">
        <v>409</v>
      </c>
      <c r="B33" s="19" t="str">
        <f aca="false">IFERROR(VLOOKUP(A33,'Employee Master'!$A:$F,2,0),"")</f>
        <v>Thangavel</v>
      </c>
      <c r="C33" s="20" t="str">
        <f aca="false">IFERROR(VLOOKUP(A33,'Employee Master'!$A:$F,3,0),"")</f>
        <v>Worker</v>
      </c>
      <c r="D33" s="20" t="str">
        <f aca="false">IFERROR(VLOOKUP(A33,'Employee Master'!$A:$F,4,0),"")</f>
        <v>Male</v>
      </c>
      <c r="E33" s="20" t="str">
        <f aca="false">IFERROR(VLOOKUP(A33,'Employee Master'!$A:$F,5,0),"")</f>
        <v>PF Male Worker</v>
      </c>
      <c r="F33" s="11" t="n">
        <f aca="false">IFERROR(VLOOKUP(A33,'Employee Master'!$A:$F,6,0),0)</f>
        <v>0</v>
      </c>
      <c r="G33" s="21" t="s">
        <v>75</v>
      </c>
      <c r="H33" s="22"/>
      <c r="I33" s="23" t="n">
        <f aca="false">IF(G33="P",1,IF(G33="H",0.5,0))</f>
        <v>1</v>
      </c>
      <c r="J33" s="24" t="n">
        <f aca="false">I33*F33</f>
        <v>0</v>
      </c>
    </row>
    <row r="34" customFormat="false" ht="15" hidden="false" customHeight="false" outlineLevel="0" collapsed="false">
      <c r="A34" s="13" t="n">
        <v>408</v>
      </c>
      <c r="B34" s="25" t="str">
        <f aca="false">IFERROR(VLOOKUP(A34,'Employee Master'!$A:$F,2,0),"")</f>
        <v>K Annamalai</v>
      </c>
      <c r="C34" s="26" t="str">
        <f aca="false">IFERROR(VLOOKUP(A34,'Employee Master'!$A:$F,3,0),"")</f>
        <v>Worker</v>
      </c>
      <c r="D34" s="26" t="str">
        <f aca="false">IFERROR(VLOOKUP(A34,'Employee Master'!$A:$F,4,0),"")</f>
        <v>Male</v>
      </c>
      <c r="E34" s="26" t="str">
        <f aca="false">IFERROR(VLOOKUP(A34,'Employee Master'!$A:$F,5,0),"")</f>
        <v>PF Male Worker</v>
      </c>
      <c r="F34" s="14" t="n">
        <f aca="false">IFERROR(VLOOKUP(A34,'Employee Master'!$A:$F,6,0),0)</f>
        <v>0</v>
      </c>
      <c r="G34" s="21" t="s">
        <v>75</v>
      </c>
      <c r="H34" s="22"/>
      <c r="I34" s="27" t="n">
        <f aca="false">IF(G34="P",1,IF(G34="H",0.5,0))</f>
        <v>1</v>
      </c>
      <c r="J34" s="28" t="n">
        <f aca="false">I34*F34</f>
        <v>0</v>
      </c>
    </row>
    <row r="35" customFormat="false" ht="15" hidden="false" customHeight="false" outlineLevel="0" collapsed="false">
      <c r="A35" s="10" t="n">
        <v>407</v>
      </c>
      <c r="B35" s="19" t="str">
        <f aca="false">IFERROR(VLOOKUP(A35,'Employee Master'!$A:$F,2,0),"")</f>
        <v>M Rupan</v>
      </c>
      <c r="C35" s="20" t="str">
        <f aca="false">IFERROR(VLOOKUP(A35,'Employee Master'!$A:$F,3,0),"")</f>
        <v>Worker</v>
      </c>
      <c r="D35" s="20" t="str">
        <f aca="false">IFERROR(VLOOKUP(A35,'Employee Master'!$A:$F,4,0),"")</f>
        <v>Male</v>
      </c>
      <c r="E35" s="20" t="str">
        <f aca="false">IFERROR(VLOOKUP(A35,'Employee Master'!$A:$F,5,0),"")</f>
        <v>PF Male Worker</v>
      </c>
      <c r="F35" s="11" t="n">
        <f aca="false">IFERROR(VLOOKUP(A35,'Employee Master'!$A:$F,6,0),0)</f>
        <v>0</v>
      </c>
      <c r="G35" s="21" t="s">
        <v>75</v>
      </c>
      <c r="H35" s="22"/>
      <c r="I35" s="23" t="n">
        <f aca="false">IF(G35="P",1,IF(G35="H",0.5,0))</f>
        <v>1</v>
      </c>
      <c r="J35" s="24" t="n">
        <f aca="false">I35*F35</f>
        <v>0</v>
      </c>
    </row>
    <row r="36" customFormat="false" ht="15" hidden="false" customHeight="false" outlineLevel="0" collapsed="false">
      <c r="A36" s="13" t="n">
        <v>406</v>
      </c>
      <c r="B36" s="25" t="str">
        <f aca="false">IFERROR(VLOOKUP(A36,'Employee Master'!$A:$F,2,0),"")</f>
        <v>Pannerselvam</v>
      </c>
      <c r="C36" s="26" t="str">
        <f aca="false">IFERROR(VLOOKUP(A36,'Employee Master'!$A:$F,3,0),"")</f>
        <v>Worker</v>
      </c>
      <c r="D36" s="26" t="str">
        <f aca="false">IFERROR(VLOOKUP(A36,'Employee Master'!$A:$F,4,0),"")</f>
        <v>Male</v>
      </c>
      <c r="E36" s="26" t="str">
        <f aca="false">IFERROR(VLOOKUP(A36,'Employee Master'!$A:$F,5,0),"")</f>
        <v>PF Male Worker</v>
      </c>
      <c r="F36" s="14" t="n">
        <f aca="false">IFERROR(VLOOKUP(A36,'Employee Master'!$A:$F,6,0),0)</f>
        <v>0</v>
      </c>
      <c r="G36" s="21" t="s">
        <v>75</v>
      </c>
      <c r="H36" s="22"/>
      <c r="I36" s="27" t="n">
        <f aca="false">IF(G36="P",1,IF(G36="H",0.5,0))</f>
        <v>1</v>
      </c>
      <c r="J36" s="28" t="n">
        <f aca="false">I36*F36</f>
        <v>0</v>
      </c>
    </row>
    <row r="37" customFormat="false" ht="15" hidden="false" customHeight="false" outlineLevel="0" collapsed="false">
      <c r="A37" s="10" t="n">
        <v>405</v>
      </c>
      <c r="B37" s="19" t="str">
        <f aca="false">IFERROR(VLOOKUP(A37,'Employee Master'!$A:$F,2,0),"")</f>
        <v>G Arumugam</v>
      </c>
      <c r="C37" s="20" t="str">
        <f aca="false">IFERROR(VLOOKUP(A37,'Employee Master'!$A:$F,3,0),"")</f>
        <v>Worker</v>
      </c>
      <c r="D37" s="20" t="str">
        <f aca="false">IFERROR(VLOOKUP(A37,'Employee Master'!$A:$F,4,0),"")</f>
        <v>Male</v>
      </c>
      <c r="E37" s="20" t="str">
        <f aca="false">IFERROR(VLOOKUP(A37,'Employee Master'!$A:$F,5,0),"")</f>
        <v>PF Male Worker</v>
      </c>
      <c r="F37" s="11" t="n">
        <f aca="false">IFERROR(VLOOKUP(A37,'Employee Master'!$A:$F,6,0),0)</f>
        <v>0</v>
      </c>
      <c r="G37" s="21" t="s">
        <v>75</v>
      </c>
      <c r="H37" s="22"/>
      <c r="I37" s="23" t="n">
        <f aca="false">IF(G37="P",1,IF(G37="H",0.5,0))</f>
        <v>1</v>
      </c>
      <c r="J37" s="24" t="n">
        <f aca="false">I37*F37</f>
        <v>0</v>
      </c>
    </row>
    <row r="38" customFormat="false" ht="15" hidden="false" customHeight="false" outlineLevel="0" collapsed="false">
      <c r="A38" s="13" t="n">
        <v>404</v>
      </c>
      <c r="B38" s="25" t="str">
        <f aca="false">IFERROR(VLOOKUP(A38,'Employee Master'!$A:$F,2,0),"")</f>
        <v>P Palanisamy</v>
      </c>
      <c r="C38" s="26" t="str">
        <f aca="false">IFERROR(VLOOKUP(A38,'Employee Master'!$A:$F,3,0),"")</f>
        <v>Mistry</v>
      </c>
      <c r="D38" s="26" t="str">
        <f aca="false">IFERROR(VLOOKUP(A38,'Employee Master'!$A:$F,4,0),"")</f>
        <v>Male</v>
      </c>
      <c r="E38" s="26" t="str">
        <f aca="false">IFERROR(VLOOKUP(A38,'Employee Master'!$A:$F,5,0),"")</f>
        <v>Mistry</v>
      </c>
      <c r="F38" s="14" t="n">
        <f aca="false">IFERROR(VLOOKUP(A38,'Employee Master'!$A:$F,6,0),0)</f>
        <v>0</v>
      </c>
      <c r="G38" s="21" t="s">
        <v>75</v>
      </c>
      <c r="H38" s="22"/>
      <c r="I38" s="27" t="n">
        <f aca="false">IF(G38="P",1,IF(G38="H",0.5,0))</f>
        <v>1</v>
      </c>
      <c r="J38" s="28" t="n">
        <f aca="false">I38*F38</f>
        <v>0</v>
      </c>
    </row>
    <row r="39" customFormat="false" ht="15" hidden="false" customHeight="false" outlineLevel="0" collapsed="false">
      <c r="A39" s="10" t="n">
        <v>403</v>
      </c>
      <c r="B39" s="19" t="str">
        <f aca="false">IFERROR(VLOOKUP(A39,'Employee Master'!$A:$F,2,0),"")</f>
        <v>R Siva</v>
      </c>
      <c r="C39" s="20" t="str">
        <f aca="false">IFERROR(VLOOKUP(A39,'Employee Master'!$A:$F,3,0),"")</f>
        <v>Driver</v>
      </c>
      <c r="D39" s="20" t="str">
        <f aca="false">IFERROR(VLOOKUP(A39,'Employee Master'!$A:$F,4,0),"")</f>
        <v>Male</v>
      </c>
      <c r="E39" s="20" t="str">
        <f aca="false">IFERROR(VLOOKUP(A39,'Employee Master'!$A:$F,5,0),"")</f>
        <v>Driver</v>
      </c>
      <c r="F39" s="11" t="n">
        <f aca="false">IFERROR(VLOOKUP(A39,'Employee Master'!$A:$F,6,0),0)</f>
        <v>0</v>
      </c>
      <c r="G39" s="21" t="s">
        <v>75</v>
      </c>
      <c r="H39" s="22"/>
      <c r="I39" s="23" t="n">
        <f aca="false">IF(G39="P",1,IF(G39="H",0.5,0))</f>
        <v>1</v>
      </c>
      <c r="J39" s="24" t="n">
        <f aca="false">I39*F39</f>
        <v>0</v>
      </c>
    </row>
    <row r="40" customFormat="false" ht="15" hidden="false" customHeight="false" outlineLevel="0" collapsed="false">
      <c r="A40" s="13" t="n">
        <v>402</v>
      </c>
      <c r="B40" s="25" t="str">
        <f aca="false">IFERROR(VLOOKUP(A40,'Employee Master'!$A:$F,2,0),"")</f>
        <v>D Sivakumar</v>
      </c>
      <c r="C40" s="26" t="str">
        <f aca="false">IFERROR(VLOOKUP(A40,'Employee Master'!$A:$F,3,0),"")</f>
        <v>Field Asst</v>
      </c>
      <c r="D40" s="26" t="str">
        <f aca="false">IFERROR(VLOOKUP(A40,'Employee Master'!$A:$F,4,0),"")</f>
        <v>Male</v>
      </c>
      <c r="E40" s="26" t="str">
        <f aca="false">IFERROR(VLOOKUP(A40,'Employee Master'!$A:$F,5,0),"")</f>
        <v>Field Assistant</v>
      </c>
      <c r="F40" s="14" t="n">
        <f aca="false">IFERROR(VLOOKUP(A40,'Employee Master'!$A:$F,6,0),0)</f>
        <v>0</v>
      </c>
      <c r="G40" s="21" t="s">
        <v>75</v>
      </c>
      <c r="H40" s="22"/>
      <c r="I40" s="27" t="n">
        <f aca="false">IF(G40="P",1,IF(G40="H",0.5,0))</f>
        <v>1</v>
      </c>
      <c r="J40" s="28" t="n">
        <f aca="false">I40*F40</f>
        <v>0</v>
      </c>
    </row>
    <row r="41" customFormat="false" ht="15" hidden="false" customHeight="false" outlineLevel="0" collapsed="false">
      <c r="A41" s="10" t="n">
        <v>401</v>
      </c>
      <c r="B41" s="19" t="str">
        <f aca="false">IFERROR(VLOOKUP(A41,'Employee Master'!$A:$F,2,0),"")</f>
        <v>T Jawaharan</v>
      </c>
      <c r="C41" s="20" t="str">
        <f aca="false">IFERROR(VLOOKUP(A41,'Employee Master'!$A:$F,3,0),"")</f>
        <v>Mech</v>
      </c>
      <c r="D41" s="20" t="str">
        <f aca="false">IFERROR(VLOOKUP(A41,'Employee Master'!$A:$F,4,0),"")</f>
        <v>Male</v>
      </c>
      <c r="E41" s="20" t="str">
        <f aca="false">IFERROR(VLOOKUP(A41,'Employee Master'!$A:$F,5,0),"")</f>
        <v>Mechanic</v>
      </c>
      <c r="F41" s="11" t="n">
        <f aca="false">IFERROR(VLOOKUP(A41,'Employee Master'!$A:$F,6,0),0)</f>
        <v>0</v>
      </c>
      <c r="G41" s="21" t="s">
        <v>75</v>
      </c>
      <c r="H41" s="22"/>
      <c r="I41" s="23" t="n">
        <f aca="false">IF(G41="P",1,IF(G41="H",0.5,0))</f>
        <v>1</v>
      </c>
      <c r="J41" s="24" t="n">
        <f aca="false">I41*F41</f>
        <v>0</v>
      </c>
    </row>
    <row r="42" customFormat="false" ht="15" hidden="false" customHeight="false" outlineLevel="0" collapsed="false">
      <c r="A42" s="13" t="n">
        <v>400</v>
      </c>
      <c r="B42" s="25" t="str">
        <f aca="false">IFERROR(VLOOKUP(A42,'Employee Master'!$A:$F,2,0),"")</f>
        <v>P Govindharaj</v>
      </c>
      <c r="C42" s="26" t="str">
        <f aca="false">IFERROR(VLOOKUP(A42,'Employee Master'!$A:$F,3,0),"")</f>
        <v>Incharge</v>
      </c>
      <c r="D42" s="26" t="str">
        <f aca="false">IFERROR(VLOOKUP(A42,'Employee Master'!$A:$F,4,0),"")</f>
        <v>Male</v>
      </c>
      <c r="E42" s="26" t="str">
        <f aca="false">IFERROR(VLOOKUP(A42,'Employee Master'!$A:$F,5,0),"")</f>
        <v>Staff / Incharge</v>
      </c>
      <c r="F42" s="14" t="n">
        <f aca="false">IFERROR(VLOOKUP(A42,'Employee Master'!$A:$F,6,0),0)</f>
        <v>0</v>
      </c>
      <c r="G42" s="21" t="s">
        <v>75</v>
      </c>
      <c r="H42" s="22"/>
      <c r="I42" s="27" t="n">
        <f aca="false">IF(G42="P",1,IF(G42="H",0.5,0))</f>
        <v>1</v>
      </c>
      <c r="J42" s="28" t="n">
        <f aca="false">I42*F42</f>
        <v>0</v>
      </c>
    </row>
    <row r="43" customFormat="false" ht="15" hidden="false" customHeight="true" outlineLevel="0" collapsed="false">
      <c r="A43" s="29" t="s">
        <v>76</v>
      </c>
      <c r="B43" s="29"/>
      <c r="C43" s="29"/>
      <c r="D43" s="29"/>
      <c r="E43" s="29"/>
      <c r="F43" s="29"/>
      <c r="G43" s="29"/>
      <c r="H43" s="29"/>
      <c r="I43" s="30" t="n">
        <f aca="false">SUM(I3:I42)</f>
        <v>40</v>
      </c>
      <c r="J43" s="31" t="n">
        <f aca="false">SUM(J3:J42)</f>
        <v>0</v>
      </c>
    </row>
    <row r="45" customFormat="false" ht="15" hidden="false" customHeight="true" outlineLevel="0" collapsed="false">
      <c r="A45" s="32" t="s">
        <v>77</v>
      </c>
      <c r="B45" s="32"/>
      <c r="C45" s="32"/>
    </row>
    <row r="46" customFormat="false" ht="15" hidden="false" customHeight="true" outlineLevel="0" collapsed="false">
      <c r="A46" s="33" t="s">
        <v>78</v>
      </c>
      <c r="B46" s="33"/>
      <c r="C46" s="34" t="n">
        <f aca="false">COUNTIF(G3:G42,"P")</f>
        <v>40</v>
      </c>
    </row>
    <row r="47" customFormat="false" ht="15" hidden="false" customHeight="true" outlineLevel="0" collapsed="false">
      <c r="A47" s="33" t="s">
        <v>79</v>
      </c>
      <c r="B47" s="33"/>
      <c r="C47" s="34" t="n">
        <f aca="false">COUNTIF(G3:G42,"H")</f>
        <v>0</v>
      </c>
    </row>
    <row r="48" customFormat="false" ht="15" hidden="false" customHeight="true" outlineLevel="0" collapsed="false">
      <c r="A48" s="33" t="s">
        <v>80</v>
      </c>
      <c r="B48" s="33"/>
      <c r="C48" s="34" t="n">
        <f aca="false">COUNTIF(G3:G42,"A")</f>
        <v>0</v>
      </c>
    </row>
    <row r="49" customFormat="false" ht="15" hidden="false" customHeight="true" outlineLevel="0" collapsed="false">
      <c r="A49" s="33" t="s">
        <v>81</v>
      </c>
      <c r="B49" s="33"/>
      <c r="C49" s="34" t="n">
        <f aca="false">SUMPRODUCT((G3:G42&lt;&gt;"A")*(G3:G42&lt;&gt;"")*(D3:D42="Male"))</f>
        <v>21</v>
      </c>
    </row>
    <row r="50" customFormat="false" ht="15" hidden="false" customHeight="true" outlineLevel="0" collapsed="false">
      <c r="A50" s="33" t="s">
        <v>82</v>
      </c>
      <c r="B50" s="33"/>
      <c r="C50" s="34" t="n">
        <f aca="false">SUMPRODUCT((G3:G42&lt;&gt;"A")*(G3:G42&lt;&gt;"")*(D3:D42="Female"))</f>
        <v>19</v>
      </c>
    </row>
    <row r="51" customFormat="false" ht="15" hidden="false" customHeight="true" outlineLevel="0" collapsed="false">
      <c r="A51" s="33" t="s">
        <v>83</v>
      </c>
      <c r="B51" s="33"/>
      <c r="C51" s="34" t="n">
        <f aca="false">SUMPRODUCT((G3:G42&lt;&gt;"A")*(G3:G42&lt;&gt;""),(ISNUMBER(SEARCH("PF",E3:E42))))</f>
        <v>31</v>
      </c>
    </row>
    <row r="52" customFormat="false" ht="15" hidden="false" customHeight="true" outlineLevel="0" collapsed="false">
      <c r="A52" s="33" t="s">
        <v>84</v>
      </c>
      <c r="B52" s="33"/>
      <c r="C52" s="31" t="n">
        <f aca="false">J43</f>
        <v>0</v>
      </c>
    </row>
  </sheetData>
  <mergeCells count="12">
    <mergeCell ref="A1:D1"/>
    <mergeCell ref="E1:G1"/>
    <mergeCell ref="H1:J1"/>
    <mergeCell ref="A43:H43"/>
    <mergeCell ref="A45:B45"/>
    <mergeCell ref="A46:B46"/>
    <mergeCell ref="A47:B47"/>
    <mergeCell ref="A48:B48"/>
    <mergeCell ref="A49:B49"/>
    <mergeCell ref="A50:B50"/>
    <mergeCell ref="A51:B51"/>
    <mergeCell ref="A52:B52"/>
  </mergeCells>
  <dataValidations count="1">
    <dataValidation allowBlank="true" error="Enter P (Present), H (Half Day) or A (Absent)" errorStyle="stop" errorTitle="Invalid Entry" operator="between" prompt="P=Present  H=Half Day  A=Absent" showDropDown="false" showErrorMessage="false" showInputMessage="false" sqref="G3:G42" type="list">
      <formula1>"P,H,A"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3F00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</cols>
  <sheetData>
    <row r="1" customFormat="false" ht="21.75" hidden="false" customHeight="true" outlineLevel="0" collapsed="false">
      <c r="A1" s="35" t="s">
        <v>85</v>
      </c>
      <c r="B1" s="35"/>
    </row>
    <row r="2" customFormat="false" ht="15" hidden="false" customHeight="false" outlineLevel="0" collapsed="false">
      <c r="A2" s="2" t="s">
        <v>86</v>
      </c>
      <c r="B2" s="2" t="s">
        <v>87</v>
      </c>
    </row>
    <row r="3" customFormat="false" ht="15" hidden="false" customHeight="false" outlineLevel="0" collapsed="false">
      <c r="A3" s="3" t="s">
        <v>88</v>
      </c>
      <c r="B3" s="3" t="s">
        <v>89</v>
      </c>
    </row>
    <row r="4" customFormat="false" ht="23.85" hidden="false" customHeight="false" outlineLevel="0" collapsed="false">
      <c r="A4" s="6" t="s">
        <v>90</v>
      </c>
      <c r="B4" s="6" t="s">
        <v>91</v>
      </c>
    </row>
    <row r="5" customFormat="false" ht="15" hidden="false" customHeight="false" outlineLevel="0" collapsed="false">
      <c r="A5" s="3" t="s">
        <v>92</v>
      </c>
      <c r="B5" s="3" t="s">
        <v>93</v>
      </c>
    </row>
    <row r="6" customFormat="false" ht="15" hidden="false" customHeight="false" outlineLevel="0" collapsed="false">
      <c r="A6" s="6" t="s">
        <v>94</v>
      </c>
      <c r="B6" s="6" t="s">
        <v>95</v>
      </c>
    </row>
    <row r="7" customFormat="false" ht="15" hidden="false" customHeight="false" outlineLevel="0" collapsed="false">
      <c r="A7" s="3" t="s">
        <v>96</v>
      </c>
      <c r="B7" s="3" t="s">
        <v>97</v>
      </c>
    </row>
    <row r="8" customFormat="false" ht="15" hidden="false" customHeight="false" outlineLevel="0" collapsed="false">
      <c r="A8" s="6" t="s">
        <v>98</v>
      </c>
      <c r="B8" s="6" t="s">
        <v>99</v>
      </c>
    </row>
    <row r="9" customFormat="false" ht="23.85" hidden="false" customHeight="false" outlineLevel="0" collapsed="false">
      <c r="A9" s="3" t="s">
        <v>100</v>
      </c>
      <c r="B9" s="3" t="s">
        <v>101</v>
      </c>
    </row>
    <row r="10" customFormat="false" ht="15" hidden="false" customHeight="false" outlineLevel="0" collapsed="false">
      <c r="A10" s="6" t="s">
        <v>102</v>
      </c>
      <c r="B10" s="6" t="s">
        <v>103</v>
      </c>
    </row>
    <row r="11" customFormat="false" ht="15" hidden="false" customHeight="false" outlineLevel="0" collapsed="false">
      <c r="A11" s="3" t="s">
        <v>104</v>
      </c>
      <c r="B11" s="3" t="s">
        <v>105</v>
      </c>
    </row>
    <row r="12" customFormat="false" ht="15" hidden="false" customHeight="false" outlineLevel="0" collapsed="false">
      <c r="A12" s="6" t="s">
        <v>106</v>
      </c>
      <c r="B12" s="6" t="s">
        <v>107</v>
      </c>
    </row>
    <row r="13" customFormat="false" ht="15" hidden="false" customHeight="false" outlineLevel="0" collapsed="false">
      <c r="A13" s="3" t="s">
        <v>108</v>
      </c>
      <c r="B13" s="3" t="s">
        <v>109</v>
      </c>
    </row>
    <row r="14" customFormat="false" ht="15" hidden="false" customHeight="false" outlineLevel="0" collapsed="false">
      <c r="A14" s="6" t="s">
        <v>110</v>
      </c>
      <c r="B14" s="6" t="s">
        <v>111</v>
      </c>
    </row>
    <row r="15" customFormat="false" ht="15" hidden="false" customHeight="false" outlineLevel="0" collapsed="false">
      <c r="A15" s="3" t="s">
        <v>112</v>
      </c>
      <c r="B15" s="3" t="s">
        <v>113</v>
      </c>
    </row>
    <row r="16" customFormat="false" ht="15" hidden="false" customHeight="false" outlineLevel="0" collapsed="false">
      <c r="A16" s="6" t="s">
        <v>114</v>
      </c>
      <c r="B16" s="6" t="s">
        <v>115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2026-06-03T13:51:18Z</dcterms:created>
  <dc:creator>openpyxl</dc:creator>
  <dc:description/>
  <dc:language>en-US</dc:language>
  <cp:lastModifiedBy/>
  <dcterms:modified xsi:type="dcterms:W3CDTF">2026-06-03T13:51:18Z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